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âu trả lời biểu mẫu 1" sheetId="1" r:id="rId5"/>
  </sheets>
  <definedNames>
    <definedName hidden="1" localSheetId="0" name="Z_23BD2D8B_95D1_48C8_AF6D_4C354FC7E6CB_.wvu.FilterData">'Câu trả lời biểu mẫu 1'!$A$1:$O$1199</definedName>
  </definedNames>
  <calcPr/>
  <customWorkbookViews>
    <customWorkbookView activeSheetId="0" maximized="1" windowHeight="0" windowWidth="0" guid="{23BD2D8B-95D1-48C8-AF6D-4C354FC7E6CB}" name="Bộ lọc 1"/>
  </customWorkbookViews>
</workbook>
</file>

<file path=xl/sharedStrings.xml><?xml version="1.0" encoding="utf-8"?>
<sst xmlns="http://schemas.openxmlformats.org/spreadsheetml/2006/main" count="9621" uniqueCount="4331">
  <si>
    <t>Tháng</t>
  </si>
  <si>
    <t>Dấu thời gian</t>
  </si>
  <si>
    <t>Tên KTV thực hiện dich vụ Truliva</t>
  </si>
  <si>
    <t>Tên khách hàng</t>
  </si>
  <si>
    <t>Số điện thoại khách hàng</t>
  </si>
  <si>
    <t>Tỉnh/Thành phố (địa chỉ khách hàng)</t>
  </si>
  <si>
    <t>Sản phẩm máy/lõi lọc nào?</t>
  </si>
  <si>
    <t>Loại dịch vụ</t>
  </si>
  <si>
    <t>5 hình ảnh (tổng quan, biên bản và thanh toán, ảnh chuyển khoản)</t>
  </si>
  <si>
    <t>Ghi chú khác (nếu có)</t>
  </si>
  <si>
    <t>Số serial</t>
  </si>
  <si>
    <t>Khoảng cách di chuyển (km)</t>
  </si>
  <si>
    <t>Đã trả tiền công KTV</t>
  </si>
  <si>
    <t>Chi phí dịch vụ</t>
  </si>
  <si>
    <t>Chi phí phát sinh</t>
  </si>
  <si>
    <t>Cao Văn Tuấn</t>
  </si>
  <si>
    <t>Chị nguyệt ánh</t>
  </si>
  <si>
    <t>0914398509</t>
  </si>
  <si>
    <t>TP. Hồ Chí Minh</t>
  </si>
  <si>
    <t>Ur61096h</t>
  </si>
  <si>
    <t>Giao hàng và lắp đặt</t>
  </si>
  <si>
    <r>
      <rPr>
        <color rgb="FF1155CC"/>
        <u/>
      </rPr>
      <t>https://drive.google.com/open?id=1Z0k3lZpIh1xe7LVV9ao0fwDp4lmRMFyI</t>
    </r>
    <r>
      <rPr/>
      <t>, https://drive.google.com/open?id=1HlHqXO9RAarVZnvDrkw1K2aGxEaLrgpe, https://drive.google.com/open?id=1X8K8Tgbb3VDR6jH_4twa75pn11sFVHWt, https://drive.google.com/open?id=1PsVcfcebPfbg9mnXwniqxm2WBp0XR-XE, https://drive.google.com/open?id=108pUqK9j0KNYv619h_9_il5GbkCgT9-T</t>
    </r>
  </si>
  <si>
    <t>Hồ Văn Thật</t>
  </si>
  <si>
    <t xml:space="preserve">Chị Thắm </t>
  </si>
  <si>
    <t>0908794398</t>
  </si>
  <si>
    <t>Ur5840</t>
  </si>
  <si>
    <r>
      <rPr>
        <color rgb="FF1155CC"/>
        <u/>
      </rPr>
      <t>https://drive.google.com/open?id=1ONovuNh7v2fsfudR2wCYEN8LX-zWRx-Y</t>
    </r>
    <r>
      <rPr/>
      <t xml:space="preserve">, https://drive.google.com/open?id=1lcecDP00q6MyzHnTA-cigvCMn30qreI_, https://drive.google.com/open?id=1oueF9CKmsvkBQos5Bua6Df7XoDMrXeJm, https://drive.google.com/open?id=1PLDb69wA2bQMlb8fsSdX8F8VSx3l9Yum, </t>
    </r>
    <r>
      <rPr>
        <color rgb="FF1155CC"/>
        <u/>
      </rPr>
      <t>https://drive.google.com/open?id=18rDvSsPk1GjrAR3dB_ggEaj78BxYfIhG</t>
    </r>
  </si>
  <si>
    <t xml:space="preserve">Thu tiền mặt </t>
  </si>
  <si>
    <t>Chú nam hưng</t>
  </si>
  <si>
    <t>0903804287</t>
  </si>
  <si>
    <t>Ur3626</t>
  </si>
  <si>
    <t>https://drive.google.com/open?id=1RvUMcJKKSnWPmHtHlPzt2UV3ZjY6_T7a, https://drive.google.com/open?id=1KntMfYyyv6Dc985XKa8tuzY8_8G4gUQu, https://drive.google.com/open?id=1B_eVPye_YH4Ao4Ee1wzK4wqQUE7uxfUi, https://drive.google.com/open?id=1BBXAZLZaeHKp9iwFzS0fwznVfrTcwMFe, https://drive.google.com/open?id=1-1cbVPXJLIzJinP0yt8pffZA3l9oG-Fu</t>
  </si>
  <si>
    <t>Nguyễn Đức Minh Tuyên</t>
  </si>
  <si>
    <t>Du thảo</t>
  </si>
  <si>
    <t>0906546789</t>
  </si>
  <si>
    <t>Pgp + cto Delica 5440</t>
  </si>
  <si>
    <t>Thay lõi lọc</t>
  </si>
  <si>
    <t>https://drive.google.com/open?id=1wFiH2Fy2oMawvcVACrG0GpROSEZsRWcJ, https://drive.google.com/open?id=1aSkQLGZfOMc0dWiJXC82UErVjTVSXCkk, https://drive.google.com/open?id=1RZmjlNVh0C8nE-jxWBDGa7kicWSSzKnL, https://drive.google.com/open?id=1KnKR5Qwc5CPivMBIJ7Q5J4mZlYf_69aU, https://drive.google.com/open?id=1HB7QlSflaoY8X1_lsthlY4EpBUTpF16G</t>
  </si>
  <si>
    <t>Pgp + cto 5440</t>
  </si>
  <si>
    <t>Lê Công Tiệp</t>
  </si>
  <si>
    <t>Chị loan</t>
  </si>
  <si>
    <t>0927201888</t>
  </si>
  <si>
    <t>TP. Hải Phòng</t>
  </si>
  <si>
    <t>Truliva UR3626</t>
  </si>
  <si>
    <t>Lắp đặt</t>
  </si>
  <si>
    <r>
      <rPr/>
      <t xml:space="preserve">https://drive.google.com/open?id=1lf195h5JDeFxgBGBaqBGAfB1QruXAfwj, https://drive.google.com/open?id=1k-CrYpbcQ-e6Jrk2wB5G7ubuDG_M7pkF, https://drive.google.com/open?id=1Wt1WuHUladjGCZFkkFOwt7uShYunfdV8, </t>
    </r>
    <r>
      <rPr>
        <color rgb="FF1155CC"/>
        <u/>
      </rPr>
      <t>https://drive.google.com/open?id=1A5j8NzV0fAhIixFdhsj-DC4jN1G_yLYk</t>
    </r>
  </si>
  <si>
    <t>Nhà khách chưa có đường nước, khách đi đường nước sau</t>
  </si>
  <si>
    <t>Chị kim</t>
  </si>
  <si>
    <t>0948634486</t>
  </si>
  <si>
    <t>Ur5676</t>
  </si>
  <si>
    <r>
      <rPr/>
      <t xml:space="preserve">https://drive.google.com/open?id=13mZIR0I2k-gvzhyYbXv1tCXjuJTLH96N, https://drive.google.com/open?id=1TCeQXFKJo-IF_7-xPXOrTqmJ3s1sPmOA, https://drive.google.com/open?id=1E8JNq7TfKuhHOPIPlRpagj5uow-GxqTU, https://drive.google.com/open?id=1cRYD2dBESb_DEkWcFJjIkBBM1yQdthF5, </t>
    </r>
    <r>
      <rPr>
        <color rgb="FF1155CC"/>
        <u/>
      </rPr>
      <t>https://drive.google.com/open?id=1ZGcPoXBQlnnOgCz5p6rCoP9ubrmDPMLp</t>
    </r>
  </si>
  <si>
    <t>Nguyễn Thế Hiếu</t>
  </si>
  <si>
    <t>Chị Nhi</t>
  </si>
  <si>
    <t>0779999191</t>
  </si>
  <si>
    <t>https://drive.google.com/open?id=1-D3YFKs4f9Zvn7MaC1zmUdoAX6RM3Rk_, https://drive.google.com/open?id=16oFhH5Nz4pIBmgh-fEP_Vk1Zs60RCYjc, https://drive.google.com/open?id=1d7Gn8qAP6rDsaVWCKFEuTQvQ55rhut12, https://drive.google.com/open?id=1IPxzw4OLaXGUO7MWTC7W2Mo-gpVVwaLy, https://drive.google.com/open?id=10lqnLBlrnrdr2R4kB7H1s_ycaPIBojBa</t>
  </si>
  <si>
    <t>.</t>
  </si>
  <si>
    <t>Nguyễn Bá Minh</t>
  </si>
  <si>
    <t>Hiền</t>
  </si>
  <si>
    <t>0907629704</t>
  </si>
  <si>
    <t>Máy 5676</t>
  </si>
  <si>
    <t>https://drive.google.com/open?id=1UcWHdgJtpZdv3VIpbvvoGfu-8VWXgFkj, https://drive.google.com/open?id=1rYrQmXlJnPPOb-hjqbvOrRSMSWzzuXsB, https://drive.google.com/open?id=1uf4AoPTfL4YhWSzPharku9YCU1Wf6hL2, https://drive.google.com/open?id=1ijqUXO8mDtZTuLVQxDYRNoLfn7Z6SYOB, https://drive.google.com/open?id=1PcSGVqRXjbq3Ziv_BFxZ60mytECX3Oww</t>
  </si>
  <si>
    <t>Đinh Thành Hưng</t>
  </si>
  <si>
    <t>Anh Xuân Quyết</t>
  </si>
  <si>
    <t>0975076891</t>
  </si>
  <si>
    <t>Đồng Nai</t>
  </si>
  <si>
    <t>https://drive.google.com/open?id=17xDGvL8tsevVnqZSoCe9K1CznzJP-sqG, https://drive.google.com/open?id=1X9QVOz9kaJRQZsBURxwWB5CrF-Zlv_Mj, https://drive.google.com/open?id=1qUx9jXHjS8lKhyONUxXONv0GQiIaYoXO, https://drive.google.com/open?id=19moikRMsAxf4O-NSgl3sqfLHfJfyc_qx, https://drive.google.com/open?id=1kzOm93NU4SKCMsWI6ju5uerMj3PyWKEs</t>
  </si>
  <si>
    <t>Lê Tấn Bửu</t>
  </si>
  <si>
    <t>Anh Ngân</t>
  </si>
  <si>
    <t>0814890836</t>
  </si>
  <si>
    <t>An Giang</t>
  </si>
  <si>
    <t>https://drive.google.com/open?id=1AY9q_zv3lCoBZ93J6EzRrPYAqObHuYNC, https://drive.google.com/open?id=1X9H71602DevRRBn2jsFETc84tHN4PWs1, https://drive.google.com/open?id=1SjsFsqLC5hUpiVeIhmA8FT6lfNfieYnj, https://drive.google.com/open?id=1OAjhs0rRzImWUDSdyWTAFXnNzhV_VoqG, https://drive.google.com/open?id=1nA17rSNWeIt-TU-zETOY3hjJgeJIP54a</t>
  </si>
  <si>
    <t>Võ Văn Phúc</t>
  </si>
  <si>
    <t>Chị Trang</t>
  </si>
  <si>
    <t>0968896678</t>
  </si>
  <si>
    <t>Nghệ An</t>
  </si>
  <si>
    <t>https://drive.google.com/open?id=1lSpJ86B_qExcV0UkMPx461p90-C7lBV9, https://drive.google.com/open?id=11uMM2gObIaBXKHPEdzmMz3XN2rhMLonq, https://drive.google.com/open?id=1uyfSMLmFJbgsqu4q9w_VhmCRyYR5z1BK, https://drive.google.com/open?id=1_N6RaWYkt8as3vo-f1u0mzG2bpDt6_n-, https://drive.google.com/open?id=1FbJSTiDy71jjSQqPKk6gxbSMnwpL6wpu</t>
  </si>
  <si>
    <t>ck Pure vita</t>
  </si>
  <si>
    <t>Nông Thành Chính</t>
  </si>
  <si>
    <t>Chị Hương</t>
  </si>
  <si>
    <t>0901406476</t>
  </si>
  <si>
    <t>Truvila 5676</t>
  </si>
  <si>
    <t>https://drive.google.com/open?id=11UjY31dR2-uU8uc0Ia4-gTrqsvhzN4Iu</t>
  </si>
  <si>
    <t>Đã hoàn thành ca lắp đặt TRUVILA5676</t>
  </si>
  <si>
    <t>Chị Hiền</t>
  </si>
  <si>
    <t>0387861535</t>
  </si>
  <si>
    <t>TRULIVA 5676</t>
  </si>
  <si>
    <t>https://drive.google.com/open?id=1f__hkQMVuqk9qdoEjXSNaok7wgH6x8ja</t>
  </si>
  <si>
    <t>Đã hoàn thành ca lắp đặt TRUVILA5677</t>
  </si>
  <si>
    <t>Anh Nhân</t>
  </si>
  <si>
    <t>0982967232</t>
  </si>
  <si>
    <t>TRUVILA3626</t>
  </si>
  <si>
    <t>https://drive.google.com/open?id=1g8jsLvOc6R5sP_zO9wWI2sLonM5GJTC-</t>
  </si>
  <si>
    <t>Đã hoàn thành ca lắp đặt TRUVILA3626</t>
  </si>
  <si>
    <t>Anh dũng</t>
  </si>
  <si>
    <t>0908393930</t>
  </si>
  <si>
    <t>PGP+ CTO + RO 5840</t>
  </si>
  <si>
    <r>
      <rPr>
        <color rgb="FF1155CC"/>
        <u/>
      </rPr>
      <t>https://drive.google.com/open?id=13cTYj2isC--HtQzdLJBl1kKTVTKUbxFw</t>
    </r>
    <r>
      <rPr/>
      <t>, https://drive.google.com/open?id=1zRE85n6jk5a7GD3M-tA-R6q_Rdmntmz0, https://drive.google.com/open?id=1HARkEOGbfI1BgJtAuvgKBwb003sh0exM, https://drive.google.com/open?id=1T6eZrZpk0TreoprmoCB03yYTXq_DWDSB, https://drive.google.com/open?id=1cMcW7c9h8wAXChxZPDSyG1kePT0p1xZB</t>
    </r>
  </si>
  <si>
    <t>Không có</t>
  </si>
  <si>
    <t>Thu</t>
  </si>
  <si>
    <t>082 7133968</t>
  </si>
  <si>
    <t xml:space="preserve">Pgp cto </t>
  </si>
  <si>
    <r>
      <rPr/>
      <t xml:space="preserve">https://drive.google.com/open?id=1B6qkrz5O-ajQNrftRlH399FmVUUdWZVH, </t>
    </r>
    <r>
      <rPr>
        <color rgb="FF1155CC"/>
        <u/>
      </rPr>
      <t>https://drive.google.com/open?id=1hZc-XyAqxuWFCkcJZl62hKboqyfFtSjA</t>
    </r>
    <r>
      <rPr/>
      <t>, https://drive.google.com/open?id=1lP1W51uCq4LpPGDpcdQu3I5HDTYY24QW, https://drive.google.com/open?id=1QBQOpXVCLjKZYVMXxsLedprCnGRwF6_r, https://drive.google.com/open?id=1MNyQwd4ZfAegHSSQcNdGJSpyeWqrlyi0</t>
    </r>
  </si>
  <si>
    <t>Ko</t>
  </si>
  <si>
    <t>Nguyễn Đức Vinh</t>
  </si>
  <si>
    <t>Chị Vy</t>
  </si>
  <si>
    <t>0937234534</t>
  </si>
  <si>
    <t>Bình Dương</t>
  </si>
  <si>
    <t>Delica 5676</t>
  </si>
  <si>
    <t>https://drive.google.com/open?id=1nr8foATC7XZ40CmV75KtySXIX98Dnn4N, https://drive.google.com/open?id=1NVd8sODWEdGm25z7e_hAlHGFFoHx3y1n, https://drive.google.com/open?id=1ZAfJKU1aJKBIuJRoVzavdO9tKFziTFDD, https://drive.google.com/open?id=1HHP7ELO2lM39oQ8is-zkGBxDzccEPTBS, https://drive.google.com/open?id=1t7TjEXsuAqz7_Kx-mizDbNnzeHyTmlIC</t>
  </si>
  <si>
    <t xml:space="preserve">Giao lắp </t>
  </si>
  <si>
    <t>Lê vân</t>
  </si>
  <si>
    <t>0903903117</t>
  </si>
  <si>
    <t>Pgp + cto + Ro 5640</t>
  </si>
  <si>
    <t>https://drive.google.com/open?id=1x0iOaj9q2z7zs7iBzsMDIrfAh0q8c_2B, https://drive.google.com/open?id=1tLs9FbVBA3-YAwrbTViVRnjLwUAX-Trv, https://drive.google.com/open?id=1ynr_rQy9Z0qODfgrIaqaPvqPDYL1yaKF, https://drive.google.com/open?id=1_jl7bYAfsyBZ05meWISkLB0BHKmHHxPt, https://drive.google.com/open?id=16sr7kWOWbeNgP2VLTODwpU_6ZZg4JCil</t>
  </si>
  <si>
    <t>Tặng vòi nước</t>
  </si>
  <si>
    <t>Nguyễn Mạnh Dũng</t>
  </si>
  <si>
    <t>Chị Thu</t>
  </si>
  <si>
    <t>0988191286</t>
  </si>
  <si>
    <t>TP. Hà Nội</t>
  </si>
  <si>
    <t>Thay lõi cto pgp náy 5840</t>
  </si>
  <si>
    <r>
      <rPr>
        <color rgb="FF1155CC"/>
        <u/>
      </rPr>
      <t>https://drive.google.com/open?id=1A6wpgitxqcTYqeO2lWmytFlA6IIxPiA1</t>
    </r>
    <r>
      <rPr/>
      <t>, https://drive.google.com/open?id=1c9VY2AInWwdTPDOJ0oICNyhdXHm0zHO9, https://drive.google.com/open?id=1cR7921cJAk1GYT2V7tslljR3pRU7yosc, https://drive.google.com/open?id=14KlPapEOHcyJOZ1nm6P8B-cQ29XmylaV, https://drive.google.com/open?id=1t0xRI1wOjQGM09gXogorl-6A45Kg7APi</t>
    </r>
  </si>
  <si>
    <t xml:space="preserve">Kh ck </t>
  </si>
  <si>
    <t>Xxxxx</t>
  </si>
  <si>
    <t>Phạm Tấn Linh</t>
  </si>
  <si>
    <t>Chú Nghiệp</t>
  </si>
  <si>
    <t>0908293972</t>
  </si>
  <si>
    <t>https://drive.google.com/open?id=19eYB9hoyuwIsQL0DXrTsD5FqyfOsVXGp, https://drive.google.com/open?id=1B8grf5ONMsYjZrdsNZKOJDuZWRSc_vOk, https://drive.google.com/open?id=13VhBi2FEKl03y7wPq4z1QDHi7Bms_dmH, https://drive.google.com/open?id=1pXQ4n8PkbpyjGO8mcNRjf5bdAqVcWIAB, https://drive.google.com/open?id=1xT9-JbHFPghhh30-1UwfQuMXAu_H7lxT</t>
  </si>
  <si>
    <t>A duy</t>
  </si>
  <si>
    <t>0988182288</t>
  </si>
  <si>
    <t>Delica 5840</t>
  </si>
  <si>
    <t>https://drive.google.com/open?id=1Pna66LOKSYpBfr9-zAwPI3KgfgnwKcT8, https://drive.google.com/open?id=1TLuXnoVYgTu3ZcwGi7b_YjB_lt39ZHeW, https://drive.google.com/open?id=1I8TkNNXYZeodHnXH23oWdn4iQY64piSw, https://drive.google.com/open?id=1u6GpSiN8pkJ1T3rVo8CnnCw7Kin8FGcY, https://drive.google.com/open?id=1siIljPscJlwObl3wIjTbCtGAhCs38Pio</t>
  </si>
  <si>
    <t xml:space="preserve">Đã thay lọc ck 2430k </t>
  </si>
  <si>
    <t>Võ Ngọc Thiên Phú</t>
  </si>
  <si>
    <t>Nguyễn Minh Hiếu</t>
  </si>
  <si>
    <t>0937775116</t>
  </si>
  <si>
    <t>UR3626</t>
  </si>
  <si>
    <t>https://drive.google.com/open?id=1WUQe5avfGqg3w_8b8ELImP6JFXxDCTEi, https://drive.google.com/open?id=1nQVMtt5qHcNa1B13cZ014kBK9Pwwr4ga, https://drive.google.com/open?id=1qd8EdrgSSOcDJfP4bWUPEfegV2cffW7g, https://drive.google.com/open?id=1io6mnKVf3WzapcePPQgC1tzy7rc2zIjz, https://drive.google.com/open?id=1TOvzhM2aiuAQHQdesYjeITxKQEYeS6Sn</t>
  </si>
  <si>
    <t>khách ck cty</t>
  </si>
  <si>
    <t>Chị thảo</t>
  </si>
  <si>
    <t>0984921215</t>
  </si>
  <si>
    <t>Lõi cto pgp 5840</t>
  </si>
  <si>
    <t>Giao hàng</t>
  </si>
  <si>
    <t>https://drive.google.com/open?id=1HG79MifJu3SZhz1bDfYmw9t033xqst__</t>
  </si>
  <si>
    <t>Đã giao và ck đầy đủ</t>
  </si>
  <si>
    <t>Chị Hoàng</t>
  </si>
  <si>
    <t>0777587756</t>
  </si>
  <si>
    <t>https://drive.google.com/open?id=1TQcpqDvaQX9C_woi6ig3hk0Dae1sYVfc, https://drive.google.com/open?id=1MM6Twhvv0JbRTeXFdoXdUzzajwlhegVM, https://drive.google.com/open?id=1vI3KBGolHRSSLmDZqjKUXIt8n3yHOdCA, https://drive.google.com/open?id=19VD4o5PFFJnrTrTo_IFUY7woOBEr1r2n, https://drive.google.com/open?id=1gbvUiSSfmKM5qlwC79LDNTq6gGe_kPU5</t>
  </si>
  <si>
    <t>Anh Hùng</t>
  </si>
  <si>
    <t>0913771116</t>
  </si>
  <si>
    <t>Truliva UR5676</t>
  </si>
  <si>
    <t>https://drive.google.com/open?id=1OBC4uH1QGvQAM74rR17drqwVNyydnXyL, https://drive.google.com/open?id=11QSDqlNXbnuTBWtt7EjYDBO69_87W22e, https://drive.google.com/open?id=1NxObfrVqO-_pcYSraH3npzaw7xfr-lb_, https://drive.google.com/open?id=1-3Zl2qghoG4MEsFdvdffGbJc97kKUpLG, https://drive.google.com/open?id=1YfHE7t_Xu4UNu0U4foQCGqq5ZEDxD-jH</t>
  </si>
  <si>
    <t>Lắp máy</t>
  </si>
  <si>
    <t>Truliva Ur 61096H</t>
  </si>
  <si>
    <t>https://drive.google.com/open?id=16o8l3nhz9alkWhUIM290jNmLUrDfvLoT, https://drive.google.com/open?id=1sQtuaQ9mPNBjwLTYwI21boYHDtpyqwy2, https://drive.google.com/open?id=1FkK9ETmu84xa5AEuj9DSzllKESS9FmAS, https://drive.google.com/open?id=1fanppQlQRNP4dIHu0A0qqt97M5fWQqAE, https://drive.google.com/open?id=1a1-c3ycdO6QWlXZXiPySgIzy4D5yH0c7</t>
  </si>
  <si>
    <t>Lắp đặt biếu tặng</t>
  </si>
  <si>
    <t>Tôn Thuận</t>
  </si>
  <si>
    <t>0838047026</t>
  </si>
  <si>
    <t>https://drive.google.com/open?id=1k5IiR8qUFMQqUHbfZopp4tnSG4afhQXk, https://drive.google.com/open?id=1b6v__izoXfI8pcnZWIHOPD5GtG60dSp2</t>
  </si>
  <si>
    <t xml:space="preserve">Đã hoàn thành ca giao hàng và lắp đặt </t>
  </si>
  <si>
    <t>Bùi Đình Thảo Vân</t>
  </si>
  <si>
    <t>0775642439</t>
  </si>
  <si>
    <t>UR5676</t>
  </si>
  <si>
    <t>https://drive.google.com/open?id=104Jhui9vIspaHXPMur-30Ox023UUVbqR, https://drive.google.com/open?id=1AHAqZxxgkvcMDbKJwU4c7YVj0wx01414, https://drive.google.com/open?id=1DO1buaPcZzVbWf_IkLCL1m9Umct2wema, https://drive.google.com/open?id=1Hgx5oIHifkYP5VWLoYn_2p_3MJvGaoWO, https://drive.google.com/open?id=1e1nKC4a_RHRUoxutivSefKf5slu5yOdH</t>
  </si>
  <si>
    <t>shopee</t>
  </si>
  <si>
    <t>Anh hiếu</t>
  </si>
  <si>
    <t>0913714717</t>
  </si>
  <si>
    <t>PGP + CTO + RO 5440</t>
  </si>
  <si>
    <t>https://drive.google.com/open?id=1LiAOPA8Tes93N_4VVPfAx4gQUDitdybG, https://drive.google.com/open?id=13nG4O70QbyO_QkeZdE6V1CZtSmLwzh_w, https://drive.google.com/open?id=13L0gJW4SRzfwlvv-JJxD4mxfZJMoOSHs, https://drive.google.com/open?id=1HpvioYXjw64KVUEmZpI9g0DmMUM7qnLm, https://drive.google.com/open?id=178p5BJ76QX251HkZE4uk-ZvcSE3PhagR</t>
  </si>
  <si>
    <t xml:space="preserve">Không có </t>
  </si>
  <si>
    <t>Nguyễn Đăng Cường</t>
  </si>
  <si>
    <t>Đặng cao thắng</t>
  </si>
  <si>
    <t>0852641998</t>
  </si>
  <si>
    <t>Đelica 5840</t>
  </si>
  <si>
    <t>https://drive.google.com/open?id=1vWtycnZZeeYtI1V8i26i73DqBESb3jWJ, https://drive.google.com/open?id=1eXoxPdnlVH5a5wlXOcFm_h4nJvgJ1e6m, https://drive.google.com/open?id=1Y43vrBxrd52cv56Gc1vvlHjG98p8Yfuo, https://drive.google.com/open?id=17rG0HUd-XpYQMlLI1s_Z5I5rOvJJG0H_, https://drive.google.com/open?id=1N6x5aMoPr5sJPiq_ppO6JpEf-2ih1szH</t>
  </si>
  <si>
    <t>Đã thay lõi song</t>
  </si>
  <si>
    <t>X</t>
  </si>
  <si>
    <t>Thu huyền</t>
  </si>
  <si>
    <t>0947786844</t>
  </si>
  <si>
    <t>Cto pgp 5440</t>
  </si>
  <si>
    <t>https://drive.google.com/open?id=10fqDbb5Ng0DIoanUZO0kuBsma4eVqBev, https://drive.google.com/open?id=1Ymep9-sFIdatU12qXo2lJrcHW02raFA9</t>
  </si>
  <si>
    <t>Thay cto pgp 5440</t>
  </si>
  <si>
    <t>Đào dung</t>
  </si>
  <si>
    <t xml:space="preserve">Cto pgp </t>
  </si>
  <si>
    <t>https://drive.google.com/open?id=15sFSv304QWmLbEChOf67ukZM8GUhSATT, https://drive.google.com/open?id=1K9NphKGxtOTQi0kRO86jAMUhXyAV0D91</t>
  </si>
  <si>
    <t>A tài</t>
  </si>
  <si>
    <t>Bán lõi cto pgp 5840</t>
  </si>
  <si>
    <t>https://drive.google.com/open?id=1ZTj8GDTln-8_JKL5hNiKRvUcvSmFnOGx, https://drive.google.com/open?id=1Gb8fRY7DukWhSpdO6Af3qmXW64wr8kru</t>
  </si>
  <si>
    <t>Bán cho khách 2 lõi cto 2 lõi pgp 5840</t>
  </si>
  <si>
    <t>Lê Quốc Tân</t>
  </si>
  <si>
    <t>Chị Thanh</t>
  </si>
  <si>
    <t>0707204618</t>
  </si>
  <si>
    <t>Tiền Giang</t>
  </si>
  <si>
    <t>Delica 5640</t>
  </si>
  <si>
    <t>https://drive.google.com/open?id=1TdK4AnAj-Ug7dV4w31RRQ4CEaGRI8DTa, https://drive.google.com/open?id=1oBqMI-bmO-TjRvSA27aWaWfVHdc2V7BN, https://drive.google.com/open?id=1Pwd4dj3rWhcqutF-uEtRwdbGAVddBjLD, https://drive.google.com/open?id=1wQnOnjKh442H6YVunKBvIgZM7zl9Q5O_, https://drive.google.com/open?id=1c_thCn-7fgKrn7N-YulYUFHrI54rbnSc</t>
  </si>
  <si>
    <t xml:space="preserve">Đã test nước OK </t>
  </si>
  <si>
    <t>Cẩm vân</t>
  </si>
  <si>
    <t>0963487227</t>
  </si>
  <si>
    <t>PGP + CTO 5440</t>
  </si>
  <si>
    <t>https://drive.google.com/open?id=18MFfMpvH9WT49m3RcMi7J8GykwoCEH6D, https://drive.google.com/open?id=1Bt3ciErI5cMWK0V5Dl7l40GdvXbKqat0, https://drive.google.com/open?id=11TovdSxIYczUuuTVbJwK1j3uGfrAbrlB, https://drive.google.com/open?id=1YcnwVuTregnFQLZw0fIk5aA7GRM9Sv0V, https://drive.google.com/open?id=1Tl0kfNwIay3zoL33mwJeIEy-65T-SlqK</t>
  </si>
  <si>
    <t>Ko có</t>
  </si>
  <si>
    <t>A hưng</t>
  </si>
  <si>
    <t>0984301479</t>
  </si>
  <si>
    <t>Cto pgp</t>
  </si>
  <si>
    <t>https://drive.google.com/open?id=16mhEw4n470yPWGIDLhMFodDvHyrqghDX, https://drive.google.com/open?id=1V4lOxR_YkO_bMl-WXBZp1nYULm9A4Qqi, https://drive.google.com/open?id=12khYWhzjAF7MAT1hYQ6N1wWKLxWpDpsS, https://drive.google.com/open?id=1zVDmKjhxrTn5i0bu5SqKaCsBgpcGM-WZ</t>
  </si>
  <si>
    <t>Khách ck pure vita 27km</t>
  </si>
  <si>
    <t>Chị hoa</t>
  </si>
  <si>
    <t>0982182938</t>
  </si>
  <si>
    <t>Truliva 3626</t>
  </si>
  <si>
    <t>https://drive.google.com/open?id=1KpCwYwSPCQuA71tILSOfB85sSn9qnl3c, https://drive.google.com/open?id=1ygfA3uEHkC-ShSrS8VIfs95C4OvixeTh, https://drive.google.com/open?id=1ycCnANzQA32zIV37GWZWq5r97bpqYj9H, https://drive.google.com/open?id=1WI-cJcsCA8wdBE4Toim4t59wzmWWQ6uW, https://drive.google.com/open?id=1j7chdyxSc1RzEHNgYrFArxJkJGEEis0j</t>
  </si>
  <si>
    <t>Khách ck trulivita 19km</t>
  </si>
  <si>
    <t>Hiếu</t>
  </si>
  <si>
    <t>0908292994</t>
  </si>
  <si>
    <t>Pgp cto ro</t>
  </si>
  <si>
    <r>
      <rPr/>
      <t xml:space="preserve">https://drive.google.com/open?id=1XYdcqjhiab3Jb4GMdxlnN1gJ1rBhaMjV, https://drive.google.com/open?id=1PIeGJDbTe-DwtOgx8g7i4LQ3cRS4Y6pm, https://drive.google.com/open?id=1GwO7k3XdIs2isgAhKy-b05PyzJS9ggJi, https://drive.google.com/open?id=1BesMHW7NiR57SRFAETMS5WJv2itFND4x, </t>
    </r>
    <r>
      <rPr>
        <color rgb="FF1155CC"/>
        <u/>
      </rPr>
      <t>https://drive.google.com/open?id=1yGtiahERFIT2SKxknwEn2JpCg7zoiLIp</t>
    </r>
  </si>
  <si>
    <t>Nguyễn Trung Hiếu</t>
  </si>
  <si>
    <t>Chị ngọc</t>
  </si>
  <si>
    <t>0933086296</t>
  </si>
  <si>
    <t>UR61096H</t>
  </si>
  <si>
    <r>
      <rPr/>
      <t xml:space="preserve">https://drive.google.com/open?id=18jd0PRpkwzRtiOldOylaVBCGYRxrUq7k, https://drive.google.com/open?id=12xniQIWUu0xXT9HDCgXeU_hbPKB-25HS, https://drive.google.com/open?id=1O793Q5qKYS9CoBGcT4n0iYgiiW1-7QbZ, https://drive.google.com/open?id=1QhyuOn0quO07EihV8wBgqODOiKI6mE7T, </t>
    </r>
    <r>
      <rPr>
        <color rgb="FF1155CC"/>
        <u/>
      </rPr>
      <t>https://drive.google.com/open?id=1DOQxRWIYfZEDbX5CNzQ-Sir8cY9pAKSX</t>
    </r>
  </si>
  <si>
    <t>Giao lắp máy mới</t>
  </si>
  <si>
    <t>Chương</t>
  </si>
  <si>
    <t>0907195555</t>
  </si>
  <si>
    <t>Pgp cto ro 58</t>
  </si>
  <si>
    <t>https://drive.google.com/open?id=1qfxQ6cXOu8UU4IXJ_FGIgV34wXY0_ZWd, https://drive.google.com/open?id=1zr_pL2tzyK17EYkbZPACHg3lTXuoc57a, https://drive.google.com/open?id=1LFRrvLM8U3WM1gdzRcs4oyHWH05HZf7i, https://drive.google.com/open?id=1R3t-EhA2y8aTLrgpVGbhHP9y3bF5Yv3F, https://drive.google.com/open?id=1y_VrsUZ96vkpoqdnzefjZf6sbet5qoVU</t>
  </si>
  <si>
    <t>Hà</t>
  </si>
  <si>
    <t>https://drive.google.com/open?id=1bCmbe7WFFeg1ZoMUWtUHQ3z1URx5DlIT, https://drive.google.com/open?id=1C8QHKZdw2jMIMPmpdKHsDn_LsrScn3Sj, https://drive.google.com/open?id=1VwDrfIfjMAL9218kdDIqJyzK8sUwr4Br, https://drive.google.com/open?id=1WDP2Qf_P4Xdw3p-hUkHrVt4_wA4jbc_b, https://drive.google.com/open?id=1JW1yWOEEY1U33tbFcFtV6CZKU8XvhWlP</t>
  </si>
  <si>
    <t>Trương Nhựt Hào</t>
  </si>
  <si>
    <t xml:space="preserve">Anh khánh </t>
  </si>
  <si>
    <t>091 8485866</t>
  </si>
  <si>
    <t>Pgp cto 5440</t>
  </si>
  <si>
    <t>https://drive.google.com/open?id=1gRL1C0ByFiQw_BgAjGuDIzUUNZivocln, https://drive.google.com/open?id=1FA-k2yNyWHE0SUmDiRpcBT60QcxRjcaY, https://drive.google.com/open?id=1kDP_2hgPGFMXx2EORypad4aGWYrkZKHP, https://drive.google.com/open?id=1UfKHG4t9Sae6aU987ErYu0vyFV332fh3, https://drive.google.com/open?id=1zHN28j5hm9vH1cuelQC0uce4Nk9EXJ92</t>
  </si>
  <si>
    <t>Cô hồi</t>
  </si>
  <si>
    <t>083 9266061</t>
  </si>
  <si>
    <r>
      <rPr/>
      <t xml:space="preserve">https://drive.google.com/open?id=1p-2DxV-GA-fCiMWAkvyMlor2zEmtyv7N, https://drive.google.com/open?id=1ZX_RkXRY_VuGLn4ibe_AHq7LGAPy3k2G, https://drive.google.com/open?id=10aNqnJROFYoEXyrEvOiWRz5BxU3lrPzQ, https://drive.google.com/open?id=1_CIalquzPT2_Chejlhxh93GIiPzu-WH_, </t>
    </r>
    <r>
      <rPr>
        <color rgb="FF1155CC"/>
        <u/>
      </rPr>
      <t>https://drive.google.com/open?id=15K8K5GYRXCqT46TXK8zSz5aklAze6qsU</t>
    </r>
  </si>
  <si>
    <t>16km k đã ck</t>
  </si>
  <si>
    <t>097 7467607</t>
  </si>
  <si>
    <t>Máy Ur 3626</t>
  </si>
  <si>
    <r>
      <rPr/>
      <t xml:space="preserve">https://drive.google.com/open?id=1UgKhU-VdbtgN_yjEodDDUTeoJkCkjZKq, https://drive.google.com/open?id=1kHgsb8efmM-ZAbrdadFhN7ZqkjcuGB79, https://drive.google.com/open?id=1g3KhEzqXbiN5Yz7nnO5BoH54160uRHOj, https://drive.google.com/open?id=1Ag3LPT6KgV6X6-zfgzj0Iw4IoEYiHnAN, </t>
    </r>
    <r>
      <rPr>
        <color rgb="FF1155CC"/>
        <u/>
      </rPr>
      <t>https://drive.google.com/open?id=114LbZ9kWXMNWeHPUp_2VQ6LGj-TqQAza</t>
    </r>
  </si>
  <si>
    <t>A</t>
  </si>
  <si>
    <t>Kim Chữ</t>
  </si>
  <si>
    <t>Chị Tâm</t>
  </si>
  <si>
    <t>0949373990</t>
  </si>
  <si>
    <t>Bà Rịa-Vũng Tàu</t>
  </si>
  <si>
    <t>Pgp cto delica 54</t>
  </si>
  <si>
    <t>https://drive.google.com/open?id=1hOabf2FbTuhS8TsBjfOLRC_1pTWJ6gNf, https://drive.google.com/open?id=1F6elwVw_IXFwRFOTF_ar5hNnQLakn7Y3, https://drive.google.com/open?id=1aWJlN3fJoo2EPoIxeKZSO0xPHboxOksJ, https://drive.google.com/open?id=1upRfgDiwyxzOvHrfYHtmPmFMyIC4dBYJ, https://drive.google.com/open?id=1G_jS5FjmrrQ0WzMA-Ci5qcyBZnTxWitX</t>
  </si>
  <si>
    <t>Sale follow thanh toán</t>
  </si>
  <si>
    <t>Văn Công Trí</t>
  </si>
  <si>
    <t>Minh Tuyền</t>
  </si>
  <si>
    <t>0792122324</t>
  </si>
  <si>
    <t>Bình Thuận</t>
  </si>
  <si>
    <t>Ur 5840</t>
  </si>
  <si>
    <t>https://drive.google.com/open?id=1l4EiK1RFj6GuiGkrWIx67P-lz9iwYh5v, https://drive.google.com/open?id=1WFN0oEWH-VdYgo6EzrNufgOeoBuVlxUV, https://drive.google.com/open?id=1qaycRE6YzYE5Jb2HXlAZuUMU-SZjZxRg, https://drive.google.com/open?id=1U_XEbp_kEMiN1YNAmf6t5ZMaGpAoFje9, https://drive.google.com/open?id=1ccKC_2jgehiUoNblvYaosqb9xFp684Ch</t>
  </si>
  <si>
    <t>Lắp đặt máy shopee</t>
  </si>
  <si>
    <t>Trần Minh Sang</t>
  </si>
  <si>
    <t>Chị Vũ Thị Huệ</t>
  </si>
  <si>
    <t>0908737190</t>
  </si>
  <si>
    <t>https://drive.google.com/open?id=195Z5oYJbdInnTdOngGsocL3qiExQoo_k, https://drive.google.com/open?id=1bFPmbdil14U52agmLLxifXGDjATKYb3_, https://drive.google.com/open?id=1QXneDDuMqITvo0JOwyAc3ogelbjXMnNL, https://drive.google.com/open?id=1c2MRed24BAmY30_V533Rj5zJkEg_WpaE, https://drive.google.com/open?id=1gZNdpWVz-X3nAzKQfBlZ5H4np_d-y0MG</t>
  </si>
  <si>
    <t>Giao lắp</t>
  </si>
  <si>
    <t>0945521111</t>
  </si>
  <si>
    <t>Pgp cto 58</t>
  </si>
  <si>
    <t>https://drive.google.com/open?id=1bW_HcNAZK_FHmsjbKJ9pTdFDFV8XFfkM, https://drive.google.com/open?id=1UWR1tv-0P3xP8Bf_C9-qJXRLt8Anja8I, https://drive.google.com/open?id=11_Hx07X6O_82XHeF4OaamHX3f5FYnwZ3, https://drive.google.com/open?id=117Tf52pKLBTesgReCO655Fpb88ddUeQd, https://drive.google.com/open?id=1IOTgefhzTdRN7IT8sFE1NSPZP_0Y09md</t>
  </si>
  <si>
    <t>52km</t>
  </si>
  <si>
    <t>Minh</t>
  </si>
  <si>
    <t>0909084039</t>
  </si>
  <si>
    <t>https://drive.google.com/open?id=1ru0bV8dR-fxe0_0MiFiQlHkzc5k2M4cl, https://drive.google.com/open?id=1RaZJxN9UUTIBmsh8TtPSEoJxoaPPTQHF, https://drive.google.com/open?id=1u59J7nUwd3g3rWWxBtn35M4Xn00Y1Emr, https://drive.google.com/open?id=1FclfwqxMk0CgJ5Ko0g9bfnDVfB_GCV-x, https://drive.google.com/open?id=19eWPcL_J9Xl7f4RNBn6j7lggNusCsknr</t>
  </si>
  <si>
    <t>Cô Tuyết</t>
  </si>
  <si>
    <t>0977467607</t>
  </si>
  <si>
    <r>
      <rPr/>
      <t xml:space="preserve">https://drive.google.com/open?id=159BMR_hOvu5A8sfyef8HGOvYMue_4cVt, https://drive.google.com/open?id=1emE2JgfY4yJWGqAzhDMRf8GXm7TthU7q, https://drive.google.com/open?id=1q32Pm3at0AsM-blZDGTsQMq1HY3YnN4n, https://drive.google.com/open?id=1iuAg1myKgaFM_bZJoh_rm72zdMyjDlqX, </t>
    </r>
    <r>
      <rPr>
        <color rgb="FF1155CC"/>
        <u/>
      </rPr>
      <t>https://drive.google.com/open?id=16XlSz2lRaxodSB8vQBTwdTDS6BOFdRDm</t>
    </r>
  </si>
  <si>
    <t>Chú Long</t>
  </si>
  <si>
    <t>0906685378</t>
  </si>
  <si>
    <t>PGP - CTO - RO 5640</t>
  </si>
  <si>
    <r>
      <rPr/>
      <t xml:space="preserve">https://drive.google.com/open?id=1GysZiA_-1TBK6IU6Uw-tLF9NqMIxmz-l, https://drive.google.com/open?id=1LDNWCGs_PM6KReTfhoQ1MFSfHoUeHvp1, https://drive.google.com/open?id=1JF3IIWTFk-mR8d3hNyXTsipKvxCm_VGI, https://drive.google.com/open?id=1kL5cNuj3jB_5W3poLAA_dVJzTLT_GgLz, </t>
    </r>
    <r>
      <rPr>
        <color rgb="FF1155CC"/>
        <u/>
      </rPr>
      <t>https://drive.google.com/open?id=1Femotu-vd9KSwmsH-iuj0lbJnZIGzMqb</t>
    </r>
  </si>
  <si>
    <t>Bảo hành 3 tháng</t>
  </si>
  <si>
    <t xml:space="preserve">A Dung chi Thương </t>
  </si>
  <si>
    <t>May 5840</t>
  </si>
  <si>
    <t>https://drive.google.com/open?id=1oGzIUeuB3A7-GqVsRzuFYowTNzz3ssQG, https://drive.google.com/open?id=1VkybK3Sjx2U2U9jG6Jho3-FaPCI2kTGO, https://drive.google.com/open?id=1tMK67xz0EbZ29vuje7R8_gJxBPQaf4Zk, https://drive.google.com/open?id=1cLONWyMTMyYleoCgG2g8CNh9hvYevSjb, https://drive.google.com/open?id=11KquFDe1oO0UL3jZdTkUUjFa28NZwtk8</t>
  </si>
  <si>
    <t>Giao lắp 58</t>
  </si>
  <si>
    <t>A bách</t>
  </si>
  <si>
    <t>+84 90 7506974</t>
  </si>
  <si>
    <t>Thay cto pgp 5840</t>
  </si>
  <si>
    <t>https://drive.google.com/open?id=1F7FF5L3HlgNqKTITwVV9n5qMEoQN7sty, https://drive.google.com/open?id=1grngNJimkd1S0XZAYq5f7TmB2EbSAyzV</t>
  </si>
  <si>
    <t>Ktv ck cho cty giúp khách 2268k ( khách hàng a bách 1215k + 1053k khách hàng a Nam = 2268k)</t>
  </si>
  <si>
    <t>A nam</t>
  </si>
  <si>
    <t>0983678558</t>
  </si>
  <si>
    <t>https://drive.google.com/open?id=1d-VxSo5wVjXo_m3sp1zdvW3us57JMs66, https://drive.google.com/open?id=18w9SVXNUbXqMPBynOrFJY93-9qhxCrHT, https://drive.google.com/open?id=1VlnhZPv90OZHKgwiMTph3OAOmSlJIvpb</t>
  </si>
  <si>
    <t>Ktv ck tổng số tiền 2 khách này là 2268k</t>
  </si>
  <si>
    <t>Xxxxxc</t>
  </si>
  <si>
    <t>Phùng Đức Cường</t>
  </si>
  <si>
    <t xml:space="preserve">Nguyễn Trung Hiếu </t>
  </si>
  <si>
    <t>0976781878</t>
  </si>
  <si>
    <t>Lâm Đồng</t>
  </si>
  <si>
    <t>Máy lọc nước Truliva UR61096H</t>
  </si>
  <si>
    <t>https://drive.google.com/open?id=1b8XqvxhM0jx4nJGXkp6VDThB5ymPmjty, https://drive.google.com/open?id=1rBYTuMjPuLW4IPFwlUE5mXpT6aNPUXfV, https://drive.google.com/open?id=1nb-UIIgCkIC9svfc0A6wP4zK6scCyzlf, https://drive.google.com/open?id=1PBG6mp4mzVUXT9Oti0LT3lwPnOgZI68j, https://drive.google.com/open?id=19l2-jax9GMvlWtIVLiircdKLpuC50Wok</t>
  </si>
  <si>
    <t>Không</t>
  </si>
  <si>
    <t>Huỳnh Phong Trạng</t>
  </si>
  <si>
    <t>Chị thuye</t>
  </si>
  <si>
    <t>0912397733</t>
  </si>
  <si>
    <t>Long An</t>
  </si>
  <si>
    <t>https://drive.google.com/open?id=11o04-0rDlWHfcDGPhp7jfe_joZM6U7L1, https://drive.google.com/open?id=1MxAOy1stv9K_B0i_qU0raPmUzKElqJ9X, https://drive.google.com/open?id=1YkF1a3DeVhhKT7yMSV8_fNqQcOsp3UYy, https://drive.google.com/open?id=1t8hEd8aS8WDTRxUvpebtOhse98Kpwz5A</t>
  </si>
  <si>
    <t xml:space="preserve">Giao lắp máy mới </t>
  </si>
  <si>
    <t>Nguyễn Phi Hổ</t>
  </si>
  <si>
    <t>Anh Thọ</t>
  </si>
  <si>
    <t>0766768685</t>
  </si>
  <si>
    <t>TP. Đà Nẵng</t>
  </si>
  <si>
    <t>Truliva UR61096H</t>
  </si>
  <si>
    <t>Lỏng vòi nước</t>
  </si>
  <si>
    <t>https://drive.google.com/open?id=1bjdyN-JVXkJeUgQj1eJLR10ko-003diG, https://drive.google.com/open?id=1WruMV0J7unBitO2wK07A-z0KcKwZFClV, https://drive.google.com/open?id=1a9uKpAoMVJGXcn_BTXS0M1k29nzK5k4q, https://drive.google.com/open?id=1CJJcMGQR40zv24QmWc6zqlW_vcWN0-Ro, https://drive.google.com/open?id=1z9RdV8Zn23aQ2ev26tU_5eWu1LIea6YA</t>
  </si>
  <si>
    <t>Thay vòi mới</t>
  </si>
  <si>
    <t>Nguyễn Đức Bảo Khánh</t>
  </si>
  <si>
    <t>Cô Thuận</t>
  </si>
  <si>
    <t>039 7950445</t>
  </si>
  <si>
    <t>PGP CTO 5640</t>
  </si>
  <si>
    <t>https://drive.google.com/open?id=1T0mBzkHJjDzHJ1_Qv14LAbaMp8j5W0Uf</t>
  </si>
  <si>
    <t>Hoàn thành</t>
  </si>
  <si>
    <t>ktv đã thu công</t>
  </si>
  <si>
    <t>Chị Doan</t>
  </si>
  <si>
    <t>098 7966553- 0333777516</t>
  </si>
  <si>
    <t>Truliva 61096</t>
  </si>
  <si>
    <t>https://drive.google.com/open?id=1MLEqYw5rOWKMIhq2XxBlPDB_RK8b1mv9, https://drive.google.com/open?id=1z8E0VO1Kjp6-1mcQlabZ2iWNTbbUlzCD, https://drive.google.com/open?id=1waDSto-KzM5lVIJ4LeBFWBiXYnzG3NB3, https://drive.google.com/open?id=18UTWAKyhLm9XGvjaLJDzRF2ku2IqsZA1, https://drive.google.com/open?id=1hd8GXu_a99yKzTT0WqcJ5XDieCKNDAaE</t>
  </si>
  <si>
    <t>Giao máy lắp đặt khách ck 16km</t>
  </si>
  <si>
    <t>Lê Hồng Khánh</t>
  </si>
  <si>
    <t>Anh lộc</t>
  </si>
  <si>
    <t>0914790028</t>
  </si>
  <si>
    <t xml:space="preserve"> ur5840</t>
  </si>
  <si>
    <t>https://drive.google.com/open?id=1QYm1n12ttlQltMXKRSKtxHvZ2g97yuyo, https://drive.google.com/open?id=18_PnWV3EcHZiqAP-AJSpD2i-I2GAAJTe, https://drive.google.com/open?id=1a7_XtoUeLuRVUxe3_2c49mn2eZFa47aV, https://drive.google.com/open?id=19pC0QZDmR3ba-_hnr_XdIFB4tpUowQiJ, https://drive.google.com/open?id=1Rsa9RkKAVnPomqQ_kl_18Yf1xdeNT04U</t>
  </si>
  <si>
    <t>Đã thanh toán phí cho trạm</t>
  </si>
  <si>
    <t>đã thanh Toán Hoa hồng</t>
  </si>
  <si>
    <t>Chị Thảo</t>
  </si>
  <si>
    <t>0968817809</t>
  </si>
  <si>
    <t>Truliva-ur 5840</t>
  </si>
  <si>
    <t>https://drive.google.com/open?id=1Cqj1znoAImww_IU96tYMA2Su4daBppgW, https://drive.google.com/open?id=11awbr7Cz4vSacX2q0pTE4d7cpiwcFbLt, https://drive.google.com/open?id=170MNPHtNU11HUWlRpnMGH-89WK_TYLZu, https://drive.google.com/open?id=1QMNmYZMXyrQaTcPuYyeNxlj-M8juvT6f, https://drive.google.com/open?id=1qIvc_rUIrLEJ1Dlu2V3y4GwRs8hT1Cuy</t>
  </si>
  <si>
    <t>Giao lắp máy truliva-5840</t>
  </si>
  <si>
    <t>DƯƠNG</t>
  </si>
  <si>
    <t>0913646669</t>
  </si>
  <si>
    <t>Máy UR 61096H</t>
  </si>
  <si>
    <t>https://drive.google.com/open?id=1IHIYCcFvkIba2aEJOR0ISzRvVO4t0Sdm, https://drive.google.com/open?id=17boBDk4czbRGAfFXolpa8djh-tmdwPn_, https://drive.google.com/open?id=1AFOLMtQof5h1HqKbfcdfhl11Y8ujlBJE, https://drive.google.com/open?id=1Vj9mpjH-GJFvWzFj2LV-eewhsJmK-KLp, https://drive.google.com/open?id=1KwqYMFlq1KxJf04pQBaD5cE4KhX4bCpA</t>
  </si>
  <si>
    <t>Nguyễn Đức Minh NGuyên</t>
  </si>
  <si>
    <t>Chị Dao</t>
  </si>
  <si>
    <t>0937890908</t>
  </si>
  <si>
    <t>Ur 3626</t>
  </si>
  <si>
    <t>https://drive.google.com/open?id=1ZhGkXA3FKkM4wDDX69a_LYTpmhd8rFWn, https://drive.google.com/open?id=1Su3hnnzmQ3YoBQBBMEP6b5pWgGqVdzNz, https://drive.google.com/open?id=1aCh48UHZZ9eu2ZDTz9NGWlk4qC3efXcd, https://drive.google.com/open?id=1mFQQf0hR0bzbtOtwejHeaKssdmVOepyT, https://drive.google.com/open?id=1c0WKc_HAn_itgG01EKumrOtew881rZ2I</t>
  </si>
  <si>
    <t>Nguyên lắp</t>
  </si>
  <si>
    <t>Chị Thuỷ</t>
  </si>
  <si>
    <t>Máy Truliva UR5840</t>
  </si>
  <si>
    <t>https://drive.google.com/open?id=1PjzND8y9I99U0LYaEcy2uRm2419PhgeD, https://drive.google.com/open?id=1EJe7EL_wnL6yYdfP44LqegGo8bzlFcAc, https://drive.google.com/open?id=1V73V40SB_G4RLxvVVESfszbwtQ-RHT0y, https://drive.google.com/open?id=17d-CYZGbwVyOKwt6ckMrfkBh5X1wT3wl, https://drive.google.com/open?id=1ncD-ke1d4wZVtSqVZFvFnHfGwWax1TPX</t>
  </si>
  <si>
    <t>Chị nga</t>
  </si>
  <si>
    <t>0934944777</t>
  </si>
  <si>
    <t>Pgp và cto 56</t>
  </si>
  <si>
    <t>Thiết bị lọc chậm</t>
  </si>
  <si>
    <t>https://drive.google.com/open?id=1N9ILDbh1VQxX7OSwmiV7l9ym8rHwrKnj, https://drive.google.com/open?id=1L7-Wi7doJEfm5Lcr5JOq616S0mYT-ovi, https://drive.google.com/open?id=1v7nlc7dgcIhNfborNmiyTgNjN3Fz-wxP, https://drive.google.com/open?id=167upnvhQnmLz6ZHFlfPxkJybUC1ZarCa, https://drive.google.com/open?id=1pJ3b6zV4pt_UeY8VfKjw89jmHB888jkY</t>
  </si>
  <si>
    <t>Thay pgp và cto 5640</t>
  </si>
  <si>
    <t>đã trả</t>
  </si>
  <si>
    <t>Chị nhung</t>
  </si>
  <si>
    <t>038 4330063</t>
  </si>
  <si>
    <t>Thay cto pgp</t>
  </si>
  <si>
    <t>https://drive.google.com/open?id=1tCLJba3TFCHU6DCAOEpX8FRij-v8KbnO, https://drive.google.com/open?id=1pFiBYaOn7-z2Vezwmytddwo9ZzW8EQOY</t>
  </si>
  <si>
    <t>Khách ck purevita</t>
  </si>
  <si>
    <t>chị Ngô Thị Sâm</t>
  </si>
  <si>
    <t>0918524885</t>
  </si>
  <si>
    <t>Delica 5440 PGP+CTO</t>
  </si>
  <si>
    <t>https://drive.google.com/open?id=1RhNsNO8IGIuq7gvPY9Ncqs5saUEBwKb9, https://drive.google.com/open?id=15-UNHjSX0nKZAIIEOED_xM1DWxHu9AFF, https://drive.google.com/open?id=1rjVaCHAGCelomr6MkhTlI9ytUJIGK4Eq, https://drive.google.com/open?id=1zHXVWN5LPXEWAwf6nYPumCCnHQtln2Xf, https://drive.google.com/open?id=1EfqkuR23c4kv1l8SdsDmqUK44XrfOoBd</t>
  </si>
  <si>
    <t>thay pgp + cto 5440</t>
  </si>
  <si>
    <t>Anh thuận</t>
  </si>
  <si>
    <t>098 3111272</t>
  </si>
  <si>
    <t>Ro5640</t>
  </si>
  <si>
    <t>https://drive.google.com/open?id=1viZP1xOTdQGMrWI8teRpf7GtmmvaVraQ, https://drive.google.com/open?id=1-u_wq4RCK33T2PF2ujI32C7pl_Z7MEOW, https://drive.google.com/open?id=18PmdToHFwCeIBLrwZklV-AkkV6-X36LM, https://drive.google.com/open?id=1i2zK_5d7VuFQXFSUQVdYWr02FfkUIe56, https://drive.google.com/open?id=18OWx2KmT7KGZpo5zsAb4frp8wTTtnWcy</t>
  </si>
  <si>
    <t>Tiền mặt</t>
  </si>
  <si>
    <t>A toàn</t>
  </si>
  <si>
    <t>090 8661856</t>
  </si>
  <si>
    <t>https://drive.google.com/open?id=1OIC0VqZ3960vvjDpMimaW2h2deTos--5, https://drive.google.com/open?id=16qzlJO6bPOrpPy0bvbIFLuTGPBtFbrRY, https://drive.google.com/open?id=1XxGx0DmvGjUj5B_NJ--KZGOAZiB-M9t_, https://drive.google.com/open?id=1uLOpAYReO8xGsmYjdRgoXSRpe0hosm0Y, https://drive.google.com/open?id=19T4kcLczM4WlIUZ9W0TusnZulJp2VO1h</t>
  </si>
  <si>
    <t xml:space="preserve">Không </t>
  </si>
  <si>
    <t>Phương</t>
  </si>
  <si>
    <t>0908398730</t>
  </si>
  <si>
    <t>Pgp cto 56</t>
  </si>
  <si>
    <r>
      <rPr/>
      <t xml:space="preserve">https://drive.google.com/open?id=1soIZmq9FcriD3b1BFo4HDYouFGAnMKAb, https://drive.google.com/open?id=1tQHEsa_HaXoAEr7wseVImyqkJl5KRRof, https://drive.google.com/open?id=1YfIkeLefGGAIr1F2KPEPSL0TlF6_e-ty, https://drive.google.com/open?id=1VtiH30BKNCiyZ0jrqakVCED8uFoS1aQs, </t>
    </r>
    <r>
      <rPr>
        <color rgb="FF1155CC"/>
        <u/>
      </rPr>
      <t>https://drive.google.com/open?id=1V-aff4CDap06D1lysHxbbPVEgtw4WBAX</t>
    </r>
  </si>
  <si>
    <t xml:space="preserve">A mươi </t>
  </si>
  <si>
    <t>0902621302</t>
  </si>
  <si>
    <t>Loi RO 5640</t>
  </si>
  <si>
    <t>https://drive.google.com/open?id=1fGcrXfXq9PPZ6GrQehMXtHgJH1UqwyTM, https://drive.google.com/open?id=1np3G_YUoafMGx__szWIQ3H4RrVOdcnaq, https://drive.google.com/open?id=1bNc2KhoPolNSH3gA5I_F-d9DBaC3KIm9, https://drive.google.com/open?id=1kXhloRc82YdXQ6kXv9HvKMLzNW6LiqcZ, https://drive.google.com/open?id=1Gd5tSTt1TzEmIs4xD4a6d27rqRWDLnO3</t>
  </si>
  <si>
    <t>Thay loi ro 5640</t>
  </si>
  <si>
    <t>x</t>
  </si>
  <si>
    <t>anh Quang</t>
  </si>
  <si>
    <t>0913806134</t>
  </si>
  <si>
    <t>PGP CTO 5440</t>
  </si>
  <si>
    <t>https://drive.google.com/open?id=1BSkc3LwvqHGL6a_BmqAB2vPxZS784lka, https://drive.google.com/open?id=1AyiEsp96YbBzlscgjrQN1sWTEwOi5oXv</t>
  </si>
  <si>
    <t>Thay PGP CTO delica</t>
  </si>
  <si>
    <t>Đỗ Thái Triều</t>
  </si>
  <si>
    <t>Chị Trúc</t>
  </si>
  <si>
    <t>0909132546</t>
  </si>
  <si>
    <t>UR 5840/ pgp cto</t>
  </si>
  <si>
    <t>https://drive.google.com/open?id=19Bk4NJlpYG2FEI3zLjKhi4NOIe8DClYN, https://drive.google.com/open?id=1q7XMJ4fQbEXx4lxNw76s2Wtpvsy2-jCQ, https://drive.google.com/open?id=1l-NEvnkMv2YSfSYkiEmMzKWAW4c9nu-y, https://drive.google.com/open?id=1PhTVQnJZ-Sba4PvQFMMLPR_1pzgDUxbo, https://drive.google.com/open?id=1tn_KDnthr8-2BLUCeWC3kz1K4xwHAA13</t>
  </si>
  <si>
    <t>Khách chuyển khoản</t>
  </si>
  <si>
    <t>Margarita signer</t>
  </si>
  <si>
    <t>0852030825</t>
  </si>
  <si>
    <t>Lắp ur 3626 eco</t>
  </si>
  <si>
    <t>https://drive.google.com/open?id=1uyvTbntMQSUG2reNImnxvuGvnDV1EjYV, https://drive.google.com/open?id=1G-ghBMzMILKGTyQ65NdjupQsk0I0eECb, https://drive.google.com/open?id=1JI2ny2cwLrIlV5Oz0MgpNik1Kb78eZb7, https://drive.google.com/open?id=19p9yeNau2D3-7nM35HZaSaJTJ5jOTEuB, https://drive.google.com/open?id=1vEzu4eaXG85mL9dP9qD1CSh5Ik6CxLWN</t>
  </si>
  <si>
    <t>Chị Dung 070 3278300 dặn làm xong chiều chị khách về chuyển khoản sau.</t>
  </si>
  <si>
    <t>Chú Thuận</t>
  </si>
  <si>
    <t>0983111272</t>
  </si>
  <si>
    <t>Ur 5640/pgp cto</t>
  </si>
  <si>
    <r>
      <rPr/>
      <t xml:space="preserve">https://drive.google.com/open?id=1HoZScg4HOu0JSZoeQVtEBx7g9Z3pciRr, https://drive.google.com/open?id=1X5prDvCW8alo77rncQP0DDBpJMOPuUDY, https://drive.google.com/open?id=1ST7DueeQE6uDK0dS1yAMelit782slAhK, https://drive.google.com/open?id=15ZUlg7Xv-NoC6YykLKaQLTRdoM6CEp7t, </t>
    </r>
    <r>
      <rPr>
        <color rgb="FF1155CC"/>
        <u/>
      </rPr>
      <t>https://drive.google.com/open?id=1aAjhpY1WEaXdf8wxpq73EL38X0BgEYCj</t>
    </r>
  </si>
  <si>
    <t>Tiền mặt. Khách không đồng ý quét mã bảo hành lọc
22025080100734 cto
21825080100125 pgp</t>
  </si>
  <si>
    <t>Chú sinh</t>
  </si>
  <si>
    <t>0834786678</t>
  </si>
  <si>
    <t>Phú Thọ</t>
  </si>
  <si>
    <t>Máy TRULIVA_U R61096H</t>
  </si>
  <si>
    <t>https://drive.google.com/open?id=1NH7OTc8kdZfSqU1bQd1sstpLcBP0cmJR, https://drive.google.com/open?id=1LnoS5QWSQ1TgIJTEgcu16HMXQ0DdGNYd, https://drive.google.com/open?id=1D0h8IHTY4elN09FYI4FYI88o3ngmAw3i, https://drive.google.com/open?id=1l00RFX0Lmy5lYPZS2ibjNWK_n8ANPTzF, https://drive.google.com/open?id=1fajoVaYOJzjJispRrQGsx3nwRo9QMEC6</t>
  </si>
  <si>
    <t>Lắp đặt mới</t>
  </si>
  <si>
    <t>Nguyễn Ngọc Cảnh</t>
  </si>
  <si>
    <t>Lê Công Minh Khôi</t>
  </si>
  <si>
    <t>0889688843</t>
  </si>
  <si>
    <t>https://drive.google.com/open?id=1BMowtnEDCazPp_klrznTODk4m57eDO-o, https://drive.google.com/open?id=1Ln4KwbUMkkifPHgLuyVVM7iLi8w2wJFD</t>
  </si>
  <si>
    <t>22km</t>
  </si>
  <si>
    <t>Anh Toàn</t>
  </si>
  <si>
    <t>0906564576</t>
  </si>
  <si>
    <t>5440 thay pgp cto</t>
  </si>
  <si>
    <t>https://drive.google.com/open?id=1alSDJtQVvhd8kCmQKXKq9QYWft_MRHRl, https://drive.google.com/open?id=1fZ2ZD34IUagvO2BsGBENKA84Cht49yg5, https://drive.google.com/open?id=1OduAvQqClWptTA_UU54B1aLO1W40nz3L, https://drive.google.com/open?id=1pfcU1qDC2bgRLnWmXtaVuXRiN0BdveZi, https://drive.google.com/open?id=1IaA3mA-gYYHEmCHPtBbY_WMZnEuhIPih</t>
  </si>
  <si>
    <t>Khách đã chuyển khoản</t>
  </si>
  <si>
    <t>Chị Ngọc Thu</t>
  </si>
  <si>
    <t>0908624411</t>
  </si>
  <si>
    <t>Ur 5840 / thay pgp cto</t>
  </si>
  <si>
    <t>https://drive.google.com/open?id=1CuatKdFkR0uSD9T4BU-mjEZLUQN7IFrb, https://drive.google.com/open?id=1bO4yaV-g8MpAkUph6X7AcyVk_IS67DpG, https://drive.google.com/open?id=1BEHVl8g8yslROxAqQLiIJRUsJtvGNhHs, https://drive.google.com/open?id=1JDNYVB4nt3jsZtKrsgDunl_ICLwenRVZ, https://drive.google.com/open?id=1bVoRp-9LKKZDsTRRD0W2apOoZoK-Ampb</t>
  </si>
  <si>
    <t>Chú Đoan</t>
  </si>
  <si>
    <t>0913625807</t>
  </si>
  <si>
    <t>Ur 5640 /biến áp</t>
  </si>
  <si>
    <t>Lỗi biến áp</t>
  </si>
  <si>
    <r>
      <rPr/>
      <t xml:space="preserve">https://drive.google.com/open?id=14q655MU11jo53y9MSjrynWQxp01wX3yQ, https://drive.google.com/open?id=1iQNboACK-C_K78txYo15_mPk2_VNo8Xc, https://drive.google.com/open?id=1uVEOXjTGrdrc8Td_JbX-bq8nzdTrcmO-, https://drive.google.com/open?id=14qJ9z0W6ZzaCcBa2w7ZdvSljXz2fBrKG, </t>
    </r>
    <r>
      <rPr>
        <color rgb="FF1155CC"/>
        <u/>
      </rPr>
      <t>https://drive.google.com/open?id=1BF2IIDerUWCpNsU2nI49oa0P5KjAf8gv</t>
    </r>
  </si>
  <si>
    <t>Thay mới, thu tiền mặt 850k</t>
  </si>
  <si>
    <t>Anh Tuấn</t>
  </si>
  <si>
    <t>0916758905</t>
  </si>
  <si>
    <t>PGP + CTO + RO 5840</t>
  </si>
  <si>
    <t>https://drive.google.com/open?id=1xSmfYo8xg-9SqGONR3oNj_jmSQHUqOFf, https://drive.google.com/open?id=13l1F6HXaRweTE6BZNYAPxgJS6q9KLS5-, https://drive.google.com/open?id=1ZFXyuARhn585Mvv1aT1Gx_TASCdgPM1o, https://drive.google.com/open?id=1sGArmKBIs3NY5sUm_JQ70LJLGb5hfaMM, https://drive.google.com/open?id=1HVigjsEGKxDcL38kj4kIYAc3LtqkUq5w</t>
  </si>
  <si>
    <t>Bảo hành 3 tháng .</t>
  </si>
  <si>
    <t>Chị Thơ</t>
  </si>
  <si>
    <t>0988882003</t>
  </si>
  <si>
    <t>Ur 5840/pgp cto</t>
  </si>
  <si>
    <t>https://drive.google.com/open?id=1oLO6itTMxG01gsgfNMvY6GqS7gvN6AJN, https://drive.google.com/open?id=1H12JCPetcNQgSLx7Qr1PhQVwAPTUJF3t, https://drive.google.com/open?id=1AjbVKzvPqfbD2ZfEqPVtWL4KsRD3jn4B, https://drive.google.com/open?id=145a5-vACObJgpSUv27_tIgetxpVz5toW, https://drive.google.com/open?id=1o-lnd8GHDmRnVCF3j-SYek-tT30LMQst</t>
  </si>
  <si>
    <t>Hoàng Tuấn Hải</t>
  </si>
  <si>
    <t>Anh Xuân Thành</t>
  </si>
  <si>
    <t>0989536375</t>
  </si>
  <si>
    <t>Lõi lọc PGP và CTO UR5840</t>
  </si>
  <si>
    <t>https://drive.google.com/open?id=1GonLUWCxDNvNnIMmmGhXGZ5UBvmDzECZ, https://drive.google.com/open?id=1pYh4boxVCFuYo04HgrvM1zfxRQd-OCV2, https://drive.google.com/open?id=1YsmCxXX3kb-hpq0zKZ9hcpsEmo7CMiZN, https://drive.google.com/open?id=1CQgZOaFMtGe0Z9-57O8VPzS-3jcjujhY, https://drive.google.com/open?id=1KZwvBlFoqt5q6CWyDmpdEnlX1ZIlmwE_</t>
  </si>
  <si>
    <t>Đã thanh toán công ty</t>
  </si>
  <si>
    <t>Chị Nhung</t>
  </si>
  <si>
    <t>0889636868</t>
  </si>
  <si>
    <t>Ur 5840/ pgp cto ro</t>
  </si>
  <si>
    <t>https://drive.google.com/open?id=1CHXUcZyALMs7uhi9UlM6GDbDpEYErhTN, https://drive.google.com/open?id=17G6dOjrLtExav__ECiHl5jnyxZfreT1V, https://drive.google.com/open?id=1yMUcnR2V3QREJ1h40F3XLfGHQCtdu3pa, https://drive.google.com/open?id=1lasm6-6B2HcDIz5XcRjhtXoBjmzehsqH, https://drive.google.com/open?id=1gUWVhOUELzZBzDXgh3kRol7lA_wn7KIO</t>
  </si>
  <si>
    <t>Anh Huế</t>
  </si>
  <si>
    <t>0902681719</t>
  </si>
  <si>
    <t>5640/pgp cto ro</t>
  </si>
  <si>
    <t>https://drive.google.com/open?id=1Oo0D_w4iyrtwxS7b0K7zgmnlLpOxDkSE, https://drive.google.com/open?id=10j9rFFD0kES5s35OJt1HPUpRA-kW4H7f, https://drive.google.com/open?id=1JRYCtXCt-SqHeN9kZFVKTy_tlUmw7U5E, https://drive.google.com/open?id=1QFvV1uYVUx-REY2oslsj4w63Cu4LWmp-, https://drive.google.com/open?id=1naeecaODgjNsvZS01CHV-nK0ptgpbs8E</t>
  </si>
  <si>
    <t xml:space="preserve">Chi ngọc </t>
  </si>
  <si>
    <t>0367551734</t>
  </si>
  <si>
    <t>Pgp va cto 5640</t>
  </si>
  <si>
    <t>https://drive.google.com/open?id=1DQOVU5PvkPchrPTpfwhhIEd37uI2CVgB, https://drive.google.com/open?id=1qjaooFzf7SQJwv14D03Hso5X1EA4tF0p, https://drive.google.com/open?id=1in9MfQBsH1Z4mlQ38cyuKbWdf6l9Eja8, https://drive.google.com/open?id=1vRR42cjGybO5bbbXL1qGDoRc6fGct-bK, https://drive.google.com/open?id=1BkW1ZMtotKDawORyQxN46r2bI8g6mcUg</t>
  </si>
  <si>
    <t>Thay lọc pgp va cto</t>
  </si>
  <si>
    <t>Đoàn Văn Đức</t>
  </si>
  <si>
    <t>0913911336</t>
  </si>
  <si>
    <t>Thanh Hóa</t>
  </si>
  <si>
    <t>TRULIVA UR5676</t>
  </si>
  <si>
    <t>https://drive.google.com/open?id=1kgijSp7JP8Bd4qD_G7y2pWmc35LRPesw, https://drive.google.com/open?id=1EB_ZKOqWpyS_mV7KlW1PyRenSFxaotL4, https://drive.google.com/open?id=1S6Au1orE_iOBzoqzBpisYlekiVOZA3Y4</t>
  </si>
  <si>
    <t>Đã lắp đặt hoàn thiện, sale folow chuyển khoản</t>
  </si>
  <si>
    <t>Mai Anh</t>
  </si>
  <si>
    <t>0983308458</t>
  </si>
  <si>
    <t>https://drive.google.com/open?id=1ivkZC_MsJ3mc8flNSqHuvmEcwWoGkUMA, https://drive.google.com/open?id=1fx_CtM5eIWfSFcaEs6v_2bNKP6e8BJAx, https://drive.google.com/open?id=1XPbd72SN3kKeL2dNNaZPcEIhFuV5WvIC, https://drive.google.com/open?id=1iIJLxXvn6_Y0iaU3uImyS5l_gIhclYg6, https://drive.google.com/open?id=1pbvJTKnIEATGFiLyP9wM8B4MlfE2IpHZ</t>
  </si>
  <si>
    <t>K h ck cty</t>
  </si>
  <si>
    <t>A thanh</t>
  </si>
  <si>
    <t>0903908561</t>
  </si>
  <si>
    <t>Pgp va cto 5840</t>
  </si>
  <si>
    <t>https://drive.google.com/open?id=1ssicrcBg2C-OwAC07zE52EKODXpbHh-J, https://drive.google.com/open?id=15yOh9gDKmAs5eJnnZm0TWsFzGwCGRD8u, https://drive.google.com/open?id=1ATMG00G19Z-hQD4Y9CYbcZtbxinEfEqJ, https://drive.google.com/open?id=1xzGESTLcR4ps8LrmTkBe93fAir-6VP5V, https://drive.google.com/open?id=1wqwD_roJs9nsR05YjwPXM2j1PNeONqtY</t>
  </si>
  <si>
    <t>Thay pgp va cto</t>
  </si>
  <si>
    <t>Anh Mẫn</t>
  </si>
  <si>
    <t>0977090494</t>
  </si>
  <si>
    <t>Ur 5840/ pgp cro ro</t>
  </si>
  <si>
    <t>https://drive.google.com/open?id=18kKj94DTcHXeZl_vXo6MWZxhf2Uo-hYY, https://drive.google.com/open?id=1RIG2wvbwdS_XTWHUO-W8lh1IOgTU3mWS, https://drive.google.com/open?id=1R7Pm3n4pfYrHOADTNCtYd5R38a7QZoTB, https://drive.google.com/open?id=1sTuLZ0gQvVzBDaDlF7N_RWv5ob9bQvxs, https://drive.google.com/open?id=1NwG23KxHhd-bgetiYls5CmIxqsstI6Re</t>
  </si>
  <si>
    <t>Khách chuyển khoản rồi</t>
  </si>
  <si>
    <t>Chị Thu (internal)</t>
  </si>
  <si>
    <t>0914398472</t>
  </si>
  <si>
    <t>Ur 5440/ pgp cto</t>
  </si>
  <si>
    <t>https://drive.google.com/open?id=1AoBiRnexl503kkY4qkaqPKOgHahQK5yp, https://drive.google.com/open?id=1sCIGpxiBr4MmuwIJGI_hMXuaoAxxsCrr, https://drive.google.com/open?id=1lvbX4inrW79jf1E9b0pGJ_Gwbtmzn5bh, https://drive.google.com/open?id=12Gpl1TVyU268pTngf0h24wFuqYFyderI, https://drive.google.com/open?id=1fh49RkYqPPw08zfklIHodZyWkNuL2o_P</t>
  </si>
  <si>
    <t>Chị Yến</t>
  </si>
  <si>
    <t>097 3427860</t>
  </si>
  <si>
    <t>Đắk Lắk</t>
  </si>
  <si>
    <t>Máy Lọc Nước Ur3626</t>
  </si>
  <si>
    <r>
      <rPr/>
      <t xml:space="preserve">https://drive.google.com/open?id=1DRfc7D0vPylVIcyl99LFZWJFLiunjzUz, https://drive.google.com/open?id=1Cv9j5NFBs3Ht0bP31oOU66enYY7e9qzE, https://drive.google.com/open?id=1BKX48nzGNyU5SLaWc-vj0XFBi7mJBHlP, https://drive.google.com/open?id=16nj8KZ_Inx0kKzIGKTqeZdJZ7Bj8aDNC, </t>
    </r>
    <r>
      <rPr>
        <color rgb="FF1155CC"/>
        <u/>
      </rPr>
      <t>https://drive.google.com/open?id=1jyqyqr-BipZPlevUfnSdGdA_Q7To3Q_Y</t>
    </r>
  </si>
  <si>
    <t>Chị Vi</t>
  </si>
  <si>
    <t>0901321386</t>
  </si>
  <si>
    <t>Pgp + Cto 5640</t>
  </si>
  <si>
    <t>https://drive.google.com/open?id=1BbfSXZITzK6mvfcra7ZZDcat2baG0FXq, https://drive.google.com/open?id=12IXioG7H00ESmo5bpwqM5_Gj36jMb_V6, https://drive.google.com/open?id=1AV5sBnn5VYGPiipJEQmYL6oyp0t9wk1E, https://drive.google.com/open?id=1269Q7FT5SG2spil9TqHAJavqDpqOgpuP, https://drive.google.com/open?id=17NKsZNF0aSGMMO2A88rpfLO-gCcM6G_t</t>
  </si>
  <si>
    <t xml:space="preserve">Ko có </t>
  </si>
  <si>
    <t>Thanh</t>
  </si>
  <si>
    <t>0394456561</t>
  </si>
  <si>
    <t>May 5840/ pgp cto ro</t>
  </si>
  <si>
    <t>https://drive.google.com/open?id=1lkTfZV0lRarZALOnjDHWYOcmZZvCoPrp, https://drive.google.com/open?id=14443564KnPXEoHNW4rPna4lEehUGqdeO, https://drive.google.com/open?id=1z30aN1yNqs8uhWbyX3W07zzPI9MP8ArB, https://drive.google.com/open?id=14kDj5bDasf1UBSi5_-6whPsoevwAHTVK, https://drive.google.com/open?id=1MHCtcG867BZjcgsAThN-UxJy8FJJm0JG</t>
  </si>
  <si>
    <t>Khách đã chuyển khoản, hoàn thành 7h</t>
  </si>
  <si>
    <t>Chi uyên</t>
  </si>
  <si>
    <t>0946787383</t>
  </si>
  <si>
    <t>5640/ pgp ctp ro, lắp lại</t>
  </si>
  <si>
    <t>https://drive.google.com/open?id=1SyuT1GKn00lwMTC9qQBdWJmC6JBbo7UB, https://drive.google.com/open?id=1mvtP7inGpYxnONoaIR02urTnAMuvZwrZ, https://drive.google.com/open?id=1LkcE8dq1AoEoICnGvEnR7EubEQi9FJdx, https://drive.google.com/open?id=1etAdJ1qxzmYrYQnEKonFhwrXzEEVpYFg, https://drive.google.com/open?id=1veXhizF0tlhy_1XdgFf6qVT_0ZEWa1Ll</t>
  </si>
  <si>
    <t>Lắp lại, thay 3 cây, tiền mặt, đã đưa a Nguyên trưa 13h 10/11/2025</t>
  </si>
  <si>
    <t>Cô Là</t>
  </si>
  <si>
    <t>0903706796</t>
  </si>
  <si>
    <t>5840/ pgp cto</t>
  </si>
  <si>
    <t>https://drive.google.com/open?id=1UBDYxp04Hibqa-kJumtRDXS2id8bx0Fk, https://drive.google.com/open?id=1cbuC3ZhmIza2F5p_Yd3RSmc8oupFsWyV, https://drive.google.com/open?id=17Pv_01AdIctuV9_-hNYQzUFvuqgSHrkI, https://drive.google.com/open?id=1fEuwuc2hJ0oJ23HFodCB0-itm5nCzK62, https://drive.google.com/open?id=1Tc4UC6qdSUtWLazm2FkNOGfPOpSQ39CS</t>
  </si>
  <si>
    <t>Nguyễn thị Thanh Xuân</t>
  </si>
  <si>
    <t>0934248268</t>
  </si>
  <si>
    <t>https://drive.google.com/open?id=1PN5rTX_qyIRsJcASc5-PxX4-aHXEFrdo, https://drive.google.com/open?id=1rPywbyv4uL_wF4LgZ4ZWsw5Kf6qzps_c, https://drive.google.com/open?id=1BS33P2I8rwp-sDlN3G2mPC1Pi_i13hIA, https://drive.google.com/open?id=1CibNzAEQCMiJAEG_ibeCEXNXgYwP4TN3, https://drive.google.com/open?id=14171XPfQDuj5JBFYCuLsWDzxI06g-TEi</t>
  </si>
  <si>
    <t>Chưa lắp cốc sf cho k.h</t>
  </si>
  <si>
    <t>Anh tân</t>
  </si>
  <si>
    <t>0908200860</t>
  </si>
  <si>
    <t>Lắp máy 5676</t>
  </si>
  <si>
    <t>https://drive.google.com/open?id=1GWZOfuSKeArSx3pvAOZ5QS7tvwdwrIwc, https://drive.google.com/open?id=170oqByxk_NOMnqyWp4u6kCkvLipeBKrj, https://drive.google.com/open?id=1H6e3f32haGEox72yzobmH11semWAdo2F, https://drive.google.com/open?id=1Qg5GhkntxOu8Ev6Xxgkll3X1PGW-3Xj7, https://drive.google.com/open?id=1wdRFwzzuLwl5LA8HZpftUAIyl6QehyBu</t>
  </si>
  <si>
    <t>Lẵp máy 5676</t>
  </si>
  <si>
    <t>https://drive.google.com/open?id=1ipOj5GWE3HqJmdvwkDtP9J1pUf0QCUlm, https://drive.google.com/open?id=16mv8kXWiT7DrpI5UzPB7U1ILNZjMko1P, https://drive.google.com/open?id=1ut-DuxGyF8CyjDTp9vQjgqmB-yiAHUIX, https://drive.google.com/open?id=1FeOGyZNoHV1o6hOylf_4WvTZseTWfNo2</t>
  </si>
  <si>
    <t>Khách mua góp, ktv ko thu tiền, đã giao lọc cto cho khách</t>
  </si>
  <si>
    <t xml:space="preserve">A Thang </t>
  </si>
  <si>
    <t>0921242424</t>
  </si>
  <si>
    <t>Ro pgp cto 5840</t>
  </si>
  <si>
    <t>https://drive.google.com/open?id=184PwFY0WrKmWvEWvw6aImbMqocELh3lH, https://drive.google.com/open?id=1Qy2R9njOoHN5yp-Vrk78VLEZgYZTEFOs, https://drive.google.com/open?id=1fvcZUpQ4ks_zwY-hEI5DRQm2BoAif42C, https://drive.google.com/open?id=1ydLNVVMa27wE7xrK3XbKQdA0fZgBQDcc, https://drive.google.com/open?id=1RIzL0TfmN_DkhAIk7TjMWX51q2oKAAsk</t>
  </si>
  <si>
    <t>Thấy rõ pgp cto 5840</t>
  </si>
  <si>
    <t>Chị yến</t>
  </si>
  <si>
    <t>0972555817</t>
  </si>
  <si>
    <t>Giao lắp 61096H</t>
  </si>
  <si>
    <t>https://drive.google.com/open?id=1BYmVrB7UzJzeZ7jPIT5SC9D_jHnpRn-H, https://drive.google.com/open?id=1t0ylnJs3t8G0m3-sVbZLXqfaCmluecIE, https://drive.google.com/open?id=1YWLmBqOlw0MHCKKNg0_V4_zUyURQJrLj, https://drive.google.com/open?id=1JqI425KxIeelfw4610UKc_7DaWpXiD9J, https://drive.google.com/open?id=1IQ3p0Vv_Oz_9Ym8zLv_xKLOD-x56aoAb</t>
  </si>
  <si>
    <t>Chị Như</t>
  </si>
  <si>
    <t>0977701780</t>
  </si>
  <si>
    <t>Máy Ur61096H</t>
  </si>
  <si>
    <t>https://drive.google.com/open?id=1QfJQIfgZRXcsTOVPTs5I8enF3qUmUXpp, https://drive.google.com/open?id=1ivFo-gY9ficyxiLlcUdHqhQyTDM-o3VM, https://drive.google.com/open?id=1-oYa41vaUJeTI-BqAFS62XdgFguIDzWn, https://drive.google.com/open?id=1JCNrLFfCrRoApIcZpeqBczzziEihjuP4, https://drive.google.com/open?id=1HRCYhRwgto6RSBSqheIBOrN0F71vG0oh</t>
  </si>
  <si>
    <t>Lắp đặt máy</t>
  </si>
  <si>
    <t>Chi yến</t>
  </si>
  <si>
    <t>0985848339</t>
  </si>
  <si>
    <t>Lắp ur 61096H</t>
  </si>
  <si>
    <t>https://drive.google.com/open?id=1FHdogjiqRVHz2CBZPCeHM_JFxPsvTrG-, https://drive.google.com/open?id=1pd-K_DNS5dSZRb45zcCZt4Cjr3Z8D455, https://drive.google.com/open?id=1C0fn5vfyIQsQtl-VZOLHJISm3KIc-B-o, https://drive.google.com/open?id=1eSdDr4w8J7FQItKSmGdoUM3WtgOQG40Y, https://drive.google.com/open?id=1-SP-TY4LY-QbKapuhkpvx6FOV-XsuWH-</t>
  </si>
  <si>
    <t>Nước giếng, tds 445, tds sau loc 56, lắp thên cốc trắng seri mới.</t>
  </si>
  <si>
    <t>Chị Loan</t>
  </si>
  <si>
    <t>0903782783</t>
  </si>
  <si>
    <t>Máy nóng</t>
  </si>
  <si>
    <t>Khảo sát vị trí</t>
  </si>
  <si>
    <t>https://drive.google.com/open?id=14woTwSdhydYG4_VbGPAC1aUZkTOkc8SO, https://drive.google.com/open?id=1CYJamUGkMJfmvMVZwyMNqLf76dBF-uLR, https://drive.google.com/open?id=1yLWh-yxNisUhtl6yruoO2zj0ndEcp_cl, https://drive.google.com/open?id=1X3bkPQtNuj7BUnj3slZtg38w2nimUdQT, https://drive.google.com/open?id=1I2CkUPUyWAnSRgl8qL6S0_RHyqlasPy5</t>
  </si>
  <si>
    <t>Đã khảo sát, chờ bếp làm xong khách lắp, dự kiến khoảng thứ 4 tuần sau. Hỗ trợ khách lắp lại casa x chung cư sát bền kasaty q10</t>
  </si>
  <si>
    <t>Xxxx</t>
  </si>
  <si>
    <t>Khoa ISE trường đh bách khoa</t>
  </si>
  <si>
    <t>083 3988088</t>
  </si>
  <si>
    <t>https://drive.google.com/open?id=1BgXNY67xjAfLRNcwzw8cK8VKAnkpA6GS, https://drive.google.com/open?id=1RIQJ9FudBhjMk6c8UDWfi-DP3PrGLI7a, https://drive.google.com/open?id=1VmfRSkvJaXTkHwB5S2Ctdcd0CaTLTqMR, https://drive.google.com/open?id=111z88CyQPJZNQxyrD1U0gUT4eQCs1Hk3, https://drive.google.com/open?id=1EIuxNvjXPNgbYMGJw36uDYpuuGdt2thG</t>
  </si>
  <si>
    <t>12m dây 10, 14m dây 6. 1 ỗ cắm, 1 đế nổi, 2m dây 2 lớp 1,5mm. 1 phích cắm, 1 ỗ chia lắc lê, 6 nẹp điện 4 phân, 7co 6, 7 co 10</t>
  </si>
  <si>
    <t>anh Tâm</t>
  </si>
  <si>
    <t>0822281982</t>
  </si>
  <si>
    <t>https://drive.google.com/open?id=1n7DtevtyySCwUoEH_XCyowel3Mk9XNvm, https://drive.google.com/open?id=1URo5lN-ScF-OsPr6gu5qPPkzFb4n1vFH, https://drive.google.com/open?id=120P31GVTlwsMBG2c15FnN5C1FAEyEyAU, https://drive.google.com/open?id=1p3QPT4l9boOoWHThF0rg5_RjLlLdPm8f, https://drive.google.com/open?id=1geaP56anyqidmK1bTNsjFyfOGZ11nxsL</t>
  </si>
  <si>
    <t>Diệu tâm</t>
  </si>
  <si>
    <t>0906891111</t>
  </si>
  <si>
    <t>Ur 61098H</t>
  </si>
  <si>
    <t>https://drive.google.com/open?id=1xNZEBMnQ_V24v9BTUBQK7GkP-zti9YAA, https://drive.google.com/open?id=1_YhkCJ6849uP94XvDBmyqYL4DvL69P0L, https://drive.google.com/open?id=1MYffRyTZT2xbPbS3ZeKgbaDMYljJcaRZ, https://drive.google.com/open?id=1ElBOfwt3HrSEj29c74LgtiSelUJd86ln, https://drive.google.com/open?id=12_ALolzPIyCIIk6D0D8uPv5U0-4P_447</t>
  </si>
  <si>
    <t>Giao 1 tủ, giao lắp 61098H, khách đã chuyển khoản</t>
  </si>
  <si>
    <t>Chi Phương</t>
  </si>
  <si>
    <t>0939333588</t>
  </si>
  <si>
    <t>Ur 5640/ pgp cto</t>
  </si>
  <si>
    <t>https://drive.google.com/open?id=12Z0QkJfPCA31UXdlEuE12p2OPhVbdaed, https://drive.google.com/open?id=1roq0tOmVdiLggZEsHeMycm3yw39bCpVw, https://drive.google.com/open?id=1qwG_Ud6TX8bcC4ORW5hwQ5H5xHXawrpT, https://drive.google.com/open?id=1dAGYPpuvQ5c9AKxlsEuJDKfej4Ar2xya, https://drive.google.com/open?id=1lLEmwCQRbK-74F7a-xTN0kYsTwQF_out</t>
  </si>
  <si>
    <t>Khách đã ck, ship loc 48k</t>
  </si>
  <si>
    <t>Chi Nhi</t>
  </si>
  <si>
    <t>0916338293</t>
  </si>
  <si>
    <t>https://drive.google.com/open?id=15YSPpnbb1qnsgXNy9flx2_vJ1vFnJFpV, https://drive.google.com/open?id=1nDR4PoNoeyJCIG-bE5_XWlMU0EvcOtHm, https://drive.google.com/open?id=1Talz5nYeqqcITNq2iP35rL6XmgwDZluv, https://drive.google.com/open?id=16usimuPeNJz5BjyPyyvFFMAgW42jKjMl, https://drive.google.com/open?id=1QaWinn_X9t8ZYnQPFr_BBLeloIwCQZxb</t>
  </si>
  <si>
    <t>Thay pgp va cto 58</t>
  </si>
  <si>
    <t>Chị trang</t>
  </si>
  <si>
    <t>0337983013</t>
  </si>
  <si>
    <t>https://drive.google.com/open?id=1sJjlVfPlZGYT_NkeZMl4V--fIYBBNaiS, https://drive.google.com/open?id=1kIZc4Quohxk-NjylVDU-ffrw8ILUWvjk, https://drive.google.com/open?id=15lvufIlsEvZUKktAK0uB4zOO6BOfY7iv, https://drive.google.com/open?id=1iJ4NCWgwXrCCvHyiXd3rbH1d2N9vy0yU, https://drive.google.com/open?id=1Bens_B8eWMIFUBOSB8S8a-ahBVb1XXWP</t>
  </si>
  <si>
    <t xml:space="preserve">Thay lọc </t>
  </si>
  <si>
    <t>Chú hoàn</t>
  </si>
  <si>
    <t>0908150829</t>
  </si>
  <si>
    <t>Ur 5440 pgp cto</t>
  </si>
  <si>
    <t>https://drive.google.com/open?id=1MSqhz65NeowufDl6JYDeQqmBrGBgMP0R, https://drive.google.com/open?id=1bsDAJknWo9JziIBlsOKe-kLYWT4yXX2z, https://drive.google.com/open?id=1cuYSBpuFXyQHr_GMTtXBEg3SFSiPcorL, https://drive.google.com/open?id=1Kb55ELsxNii_e2VxP4r_qn1yaEe4uGFP, https://drive.google.com/open?id=1UHlHkCqN39StqyEgUYUAw5aCw2cAn3t6</t>
  </si>
  <si>
    <t>App ghi không thu tiền khách</t>
  </si>
  <si>
    <t>Anh hiển</t>
  </si>
  <si>
    <t>0963523823</t>
  </si>
  <si>
    <t>Ur 5640 pgp cto ro</t>
  </si>
  <si>
    <t>https://drive.google.com/open?id=1z8ASy9MdnT_r9myzEvToRwHZ6ex1hT55, https://drive.google.com/open?id=10qxymccyTtfznZwOmyXTasThAZQJ5Z3s, https://drive.google.com/open?id=1WkyKDmfkmmtbGcfnhCcN2IYblnF1-Th-, https://drive.google.com/open?id=1ESIy4CxBnnDHIUOLkfGTu4UjUXunjDuy, https://drive.google.com/open?id=11zHhFgHbObvtc5UC--YBNJ0vr_tj5P1J</t>
  </si>
  <si>
    <t>Chú Vĩnh</t>
  </si>
  <si>
    <t>0937137766</t>
  </si>
  <si>
    <t>Ur 5676</t>
  </si>
  <si>
    <t>https://drive.google.com/open?id=10EOrmsOe7XrBu2pHyUHy2yMntv5qB3X6, https://drive.google.com/open?id=1QUZ-UamBnj_uX4nBnUYYhrnGeSVvH9OG, https://drive.google.com/open?id=1VddGpsggIdF5NS-HkNLiIXAVEKcnOpvF, https://drive.google.com/open?id=1RFc8aq7It9iTdvAX6tkVeCH0JsiYO8S0, https://drive.google.com/open?id=1LdByh-c_KBQHesY4LBwwVRxnM1TuTwHB</t>
  </si>
  <si>
    <t xml:space="preserve">Thu tiền mặt 11.400k </t>
  </si>
  <si>
    <t>Giao lắp 5676</t>
  </si>
  <si>
    <t>https://drive.google.com/open?id=1jDLaZ7rIH92_S7cdTFPKDwoU45VCxVem, https://drive.google.com/open?id=1s4UnArIf7zfsQBXvrktXP-fsnhykJVYj, https://drive.google.com/open?id=1wn-CWigliBI-3ww79YglqD9z1MvkCPyg, https://drive.google.com/open?id=1w_ADBgbdiNoLOr9IfjXTIxw-6Ws_APlO, https://drive.google.com/open?id=1NpPcSVGYLu3Q-Knhwjwu_vaeHhLNKLIw</t>
  </si>
  <si>
    <t>Tiền mặt, đã nộp sáng 20/11/25</t>
  </si>
  <si>
    <t>Tâm lê</t>
  </si>
  <si>
    <t>0907661313</t>
  </si>
  <si>
    <r>
      <rPr/>
      <t xml:space="preserve">https://drive.google.com/open?id=1gLrWvHr5ML8ab1TltzN3wexaHy7oyWn2, https://drive.google.com/open?id=1h1Z9eJBFevDezSYaRpNi6Zmb__cC4igz, https://drive.google.com/open?id=13EH34e84Iux4VTwVql7ZQT3SL2XEgv3N, https://drive.google.com/open?id=1Tv9rf_dF2RnEzmS82KyL3ZXfhxlbabws, </t>
    </r>
    <r>
      <rPr>
        <color rgb="FF1155CC"/>
        <u/>
      </rPr>
      <t>https://drive.google.com/open?id=1EVOUlFc4AYzDs9uPq5mnoWqv11yPRbh5</t>
    </r>
  </si>
  <si>
    <t>Phát sinh 75k, sale Huệ trả</t>
  </si>
  <si>
    <t>Thầy Nguyên trường bách khoa</t>
  </si>
  <si>
    <t>0966990252</t>
  </si>
  <si>
    <t>Ur 61096H</t>
  </si>
  <si>
    <t>https://drive.google.com/open?id=1jNRM-K3MWb8OEW7YZ5W40asQNXR9fNoK, https://drive.google.com/open?id=1EnKs-NqRyn6dQO2nGEIXZ3ejrTJNtxXS, https://drive.google.com/open?id=1OXfKWnHewad-TlxW6KPyCPTmjh5XaN8H, https://drive.google.com/open?id=1_NCFEbJ2BEWedT_Llcwa6QJH0onovhO-, https://drive.google.com/open?id=1j5lvc3XK7eKuSKfiq6nMKbfOvlz__2OE</t>
  </si>
  <si>
    <t>Không thu tiền. Vật tư 204k cty trả ktv</t>
  </si>
  <si>
    <t>Yến Thi</t>
  </si>
  <si>
    <t>0908459941</t>
  </si>
  <si>
    <r>
      <rPr/>
      <t xml:space="preserve">https://drive.google.com/open?id=1ffaRgfnaXp4jQ-1ZD2uz2TVi0zZy4bNt, https://drive.google.com/open?id=1W86ekVLCzb9fC8I4Z0vZAe_QlbU_vkr-, https://drive.google.com/open?id=1bEIeQzpCLsij44t6Dv3xpPXw8mcEtbl8, https://drive.google.com/open?id=1XJPtktjN-Oh_PFw39_4O_-8jEWGE3_0q, </t>
    </r>
    <r>
      <rPr>
        <color rgb="FF1155CC"/>
        <u/>
      </rPr>
      <t>https://drive.google.com/open?id=1T4iqnnY2zSQm-zlLM67FAr8CGUC614YR</t>
    </r>
  </si>
  <si>
    <t>Chị Ngọc</t>
  </si>
  <si>
    <t>0906383357</t>
  </si>
  <si>
    <t>Lắp ur 5840</t>
  </si>
  <si>
    <t>https://drive.google.com/open?id=1tUISTkkgKIOfFQBTZrnUayF9JG9OLcB7, https://drive.google.com/open?id=1Y-LyI6rRBfqeqYpYi2xCc0S9QC-__Mnl, https://drive.google.com/open?id=1zwX9VNN-pHpT9_y_eq4HuFq2oLc69DjB, https://drive.google.com/open?id=1bHJsy_9Y31GJpldrkLLugLZKZCSHE4FL, https://drive.google.com/open?id=1peEPSgiPQ4mBDfXY9uhJI58AGTqJ1-qv</t>
  </si>
  <si>
    <t>0909737663</t>
  </si>
  <si>
    <t>https://drive.google.com/open?id=1bVR7uXkMlp8Xhn5VKa5w4X_sFNp0iTCr, https://drive.google.com/open?id=13FrGln_3epZIBQ-aS1_TOcrYK3_Zq_Vx, https://drive.google.com/open?id=10SNXPg4_vDVAFD5azNhvzsbcEQeFNo-w, https://drive.google.com/open?id=1z3TS3OZ00JsaLt85gxMlsYxKOAl2hxJp, https://drive.google.com/open?id=1E44eeAFY9zOGOqZPUPRGLnNYaxeuc_PY</t>
  </si>
  <si>
    <t>Khách chuyển dư 38k</t>
  </si>
  <si>
    <t>0908972679</t>
  </si>
  <si>
    <t>https://drive.google.com/open?id=1h1KOOVA_RNueQrPUY-EDQHBvpfXpHugP, https://drive.google.com/open?id=1Tm_hd01SZ6zPB6iDd0hkR9yv6V4idA54, https://drive.google.com/open?id=1kLcUHV6Sm0_ACo6IFuKzjZZDvYdX7j-8, https://drive.google.com/open?id=1ZimLVwyISQDwya4BL75ZbEr2_D-aUHa2, https://drive.google.com/open?id=1blv_fd3BJQgtfdnSNrUO27VGEyAgj-3z</t>
  </si>
  <si>
    <t>Bếp rất nhỏ, k chụp tổng quan được, khách hẹn mai 22/11/25 có lương sẽ chuyển khoản, liên lạc vs ktv. Đã báo điều hành ca. Note: Sale không gọi nhắc khách tiền.
Tháo máy casa X cho khách</t>
  </si>
  <si>
    <t>Huỳnh Văn Thanh</t>
  </si>
  <si>
    <t>anh Quỷnh- chị Ly</t>
  </si>
  <si>
    <t>0909930299</t>
  </si>
  <si>
    <t>Kiên Giang</t>
  </si>
  <si>
    <t>61096h</t>
  </si>
  <si>
    <t>https://drive.google.com/open?id=1AiHfV1AvqGszSOhNebjUNMlZa4mMlU-u, https://drive.google.com/open?id=1mgaLIca8WK8sf4CEJd_YReMBUPQpvgNz, https://drive.google.com/open?id=1Z4TeSpCPQ22V0217O5fW6_yWFQ4NDF3u, https://drive.google.com/open?id=1Rv3LlFjkg9bEXDAgW5tdEL2UcDF8yPyL</t>
  </si>
  <si>
    <t>Nguyễn Văn Thế</t>
  </si>
  <si>
    <t>Huyền Châu</t>
  </si>
  <si>
    <t>0382705119</t>
  </si>
  <si>
    <t>Quảng Trị</t>
  </si>
  <si>
    <t>61096H</t>
  </si>
  <si>
    <t>https://drive.google.com/open?id=1GA2_XTOi08ZBtD4AYhPIsk7jPfskVPVX, https://drive.google.com/open?id=1d0MjFRcRK_FQabJj-FA-945l_oVEX1ok, https://drive.google.com/open?id=1AcZeOF5lDVgV_bEwYYwasG24yxAFVUQ3, https://drive.google.com/open?id=1q1YifRoLtEeCerN587Wj5zlrbQPPP3--, https://drive.google.com/open?id=1d9_Zko68U6-K4w9Ma2SXkWXnwjzuqGne</t>
  </si>
  <si>
    <t>giao lắp máy mới 160km</t>
  </si>
  <si>
    <t>Triệu Minh Hiệp</t>
  </si>
  <si>
    <t>Chị trà</t>
  </si>
  <si>
    <t>0934356255</t>
  </si>
  <si>
    <t>Truliva</t>
  </si>
  <si>
    <t>https://drive.google.com/open?id=1od_ZCL8pXLcWTcSetwYwV4YNC7u5FdAV, https://drive.google.com/open?id=1PHPhOWpO6Kety6Xlq9Ydz8r32Ws3EomZ, https://drive.google.com/open?id=1v_YJE0rdFBpgYcIr7eZSkfSkNLhMsHbB, https://drive.google.com/open?id=150DjiLDGt6EpFFna14914VbPqDW99828, https://drive.google.com/open?id=1MGdTTOnFh6j3hk-3bADnoE5OAUiUsR6L</t>
  </si>
  <si>
    <t xml:space="preserve">Khách đã ck </t>
  </si>
  <si>
    <t>Cô Nga</t>
  </si>
  <si>
    <t>0397786498</t>
  </si>
  <si>
    <t>https://drive.google.com/open?id=1LKZqigQMrlCs9JMra52rEYKC8xVTkyVZ, https://drive.google.com/open?id=1wjGW6lI19_RgMjZgp4K1G-NdmSYEXHpJ, https://drive.google.com/open?id=1EehclJqIbozW_z6ZUYQD6n0dMJSYzGbc, https://drive.google.com/open?id=1sOPdSrQdy6eZTnuVWwZSH_fnjUISaX2L, https://drive.google.com/open?id=1HBfUTLTruXsYxzCl5Zij9nTy3Uy9wP7T</t>
  </si>
  <si>
    <t>Cô Tâm</t>
  </si>
  <si>
    <t>0918723701</t>
  </si>
  <si>
    <t>Ur 5840 pgp cto</t>
  </si>
  <si>
    <t>https://drive.google.com/open?id=10UPAV9yVo5L_h-Vm6bp5GNZ3u-BpX3HS, https://drive.google.com/open?id=18TzUn0jaVyYpgiKNqYzjZcAL3Lf7h4Mi, https://drive.google.com/open?id=1lr51ggIAH5_YEg6E2WWCeTldRrHAGdpB, https://drive.google.com/open?id=1MvM1NLaw_SJHQxjjxEa86m55Dng2YzKG, https://drive.google.com/open?id=190XPN9-P7SPUU_uglQyG-_Bq9ppABUkG</t>
  </si>
  <si>
    <t>Khách đã ck, ktv đã ck cty</t>
  </si>
  <si>
    <t>Chú Hùng</t>
  </si>
  <si>
    <t>0918212798</t>
  </si>
  <si>
    <t>5840-thay mdk</t>
  </si>
  <si>
    <t>Lỗi mạch điện</t>
  </si>
  <si>
    <t>https://drive.google.com/open?id=1cvcJg3YzTYf6L3ZWp5zC2ayfVDCiNgaw, https://drive.google.com/open?id=14LVQqxYMDRVuqrfqbV-Ll_Fkn4ikn5y3, https://drive.google.com/open?id=1W3wQwvWgbigtJAtc1y8wS0bt0LG1Is8q, https://drive.google.com/open?id=1x7gZP4r-G9TrrJPgIRqkKBB46zOhjZyj, https://drive.google.com/open?id=1RKwnw5ez4VC6vl2h0zTS_cjEJXT6ETZ1</t>
  </si>
  <si>
    <t>Thay mdk, tien mat</t>
  </si>
  <si>
    <t>Chi Thư</t>
  </si>
  <si>
    <t>0906148803</t>
  </si>
  <si>
    <t>https://drive.google.com/open?id=1FXPNM5CTrXFRX5-xbnV8yuLFo8catWqD, https://drive.google.com/open?id=1QDhx_iOkPRd_jI8A0kF7pJyYc8o27_zZ, https://drive.google.com/open?id=1F_m-ndLz2ipDTxTmHlW094_EySXOyZV6, https://drive.google.com/open?id=1rYDHpBHpV49dBlW-NcEXp0fpyzU6KNGN, https://drive.google.com/open?id=1v68L29hx343fBNyI2l03QyMizM24kw6f</t>
  </si>
  <si>
    <t>Đã chuyển khoản</t>
  </si>
  <si>
    <t>chị Sương</t>
  </si>
  <si>
    <t>0982720462</t>
  </si>
  <si>
    <t>PGP +CTO delica 5840</t>
  </si>
  <si>
    <t>https://drive.google.com/open?id=1QGiibLM1VKJNsXH5JYmwEdqu6wml5fYm, https://drive.google.com/open?id=1rYtvm-0P1BlLV7_qEeY8E2wLzhkqMEzT, https://drive.google.com/open?id=1xynHUx2rLwQX44iIWivVUoD2ypXmUF87, https://drive.google.com/open?id=1K_HmQfIn1V5IZEWwiZ_wot9l7KdoGU3f</t>
  </si>
  <si>
    <t>xuất vat, ck</t>
  </si>
  <si>
    <t>Chu hải càe hali</t>
  </si>
  <si>
    <t>0918775357</t>
  </si>
  <si>
    <t>https://drive.google.com/open?id=15Vm8sTHt7e3sk4hy_BjL-JG2yfFYSNSG, https://drive.google.com/open?id=1p7AbdyThOV3cY1XPjFW9YCQA0CtOpnp2, https://drive.google.com/open?id=1jPjEQszuX7YvY3rw_1X7v2EwWsLk8fzi, https://drive.google.com/open?id=1uF3T7JHDh-xwDryHuui-BDJdbC3mhqIV, https://drive.google.com/open?id=176tr9IMIoB6LXQ1Rvbp8_50RQnGxG3lJ</t>
  </si>
  <si>
    <t>Đa ck 13.500k, đã chuyển cty, 13tr, vinh 500</t>
  </si>
  <si>
    <t>Chi hoa</t>
  </si>
  <si>
    <t>0932658163</t>
  </si>
  <si>
    <t>https://drive.google.com/open?id=1kDr67-V75VPq7azMV_VhXL2bIQ84qUWG, https://drive.google.com/open?id=1Myjpkap5L6uqyeQhHorieDkA_fntB_UQ, https://drive.google.com/open?id=1y8TcmUEnQ01KsKH4D0ZFgJpdBJYfc7KN, https://drive.google.com/open?id=1cB3ZppB5598PkumaTTaKK_4o1m-7V3xe, https://drive.google.com/open?id=1y49o0yikuGChyJt93W9q_xmmJYIp17ua</t>
  </si>
  <si>
    <t xml:space="preserve">Khách làm việc với sale ck,,, ktv k thu tiền, </t>
  </si>
  <si>
    <t>Chị Phượng</t>
  </si>
  <si>
    <t>0922603111</t>
  </si>
  <si>
    <t>https://drive.google.com/open?id=1g399HA4pTyX4MlzL0qABsmlG_w8RucSQ, https://drive.google.com/open?id=1E4LPULDmtyOddHaK-aX7JWCarkPuY-Ey, https://drive.google.com/open?id=1gty6KixVFAv3qb7HRO55eiIgL3tLkB_R, https://drive.google.com/open?id=1tP7PQ1Kf7MwuUHA1oiBEXxC8htQVWNDB, https://drive.google.com/open?id=1P0aW0NJD-AgTFXBuxDkGdxmtAlBW6rW0</t>
  </si>
  <si>
    <t>Khách đang họp, xong khach ck, nhân viên trinh sẽ gởi màn hình thành công sau</t>
  </si>
  <si>
    <t>Nguyễn Duy Tân</t>
  </si>
  <si>
    <t>Quỳnh Anh</t>
  </si>
  <si>
    <t>0838176931</t>
  </si>
  <si>
    <t>PGP 5440</t>
  </si>
  <si>
    <t>https://drive.google.com/open?id=1ZPhYpfuWg0j0yKGYbzwqalLnFdq69FOK, https://drive.google.com/open?id=1o0LBbx9a5FezdlpNjoP87lbd41i9J2Z5, https://drive.google.com/open?id=1AVbm7WUH98rBaOSHBMYM796NWEGtDaSJ, https://drive.google.com/open?id=1XsWktci3D21ALsorw8lRwQXn-2uIbngJ</t>
  </si>
  <si>
    <t>thay PGP thu 990k. KH CK</t>
  </si>
  <si>
    <t>Chị Tú</t>
  </si>
  <si>
    <t>0862072784</t>
  </si>
  <si>
    <t>Ur 5440 pgp cto ro</t>
  </si>
  <si>
    <t>https://drive.google.com/open?id=1-QOToVP-9wUBKXHNmsS-Vtmz0j-UOTRE, https://drive.google.com/open?id=1FXMd8reO6pS8kPneDcbO5osJRck7_ztB, https://drive.google.com/open?id=1TaqUh0mqmzxdJpQ52Gn7-P9Vr3y5QXRY, https://drive.google.com/open?id=1rg1unI-tSxxF_0xOrSsQRvXjZeoYU2N_, https://drive.google.com/open?id=1tHyeydNP80CSSjEOSd1Q8b7qNFL-pgYI</t>
  </si>
  <si>
    <t>Tiền mặt 2697k, giảm 15% lọc 5440</t>
  </si>
  <si>
    <t>Anh Mạnh</t>
  </si>
  <si>
    <t>0903795399</t>
  </si>
  <si>
    <t>https://drive.google.com/open?id=1jKMDLCo-C1TYZo-ug5VqN1BMLidabmrL, https://drive.google.com/open?id=120FgB4dXRfYRRA0bbGOWMWt6EpwtXtPS, https://drive.google.com/open?id=1XSUIvK4FONB9WkLUDX4DkeABSQoVj3Ct, https://drive.google.com/open?id=1yRUXgD3iPVYQC6gbjyZnhO8TaKzDFD66, https://drive.google.com/open?id=19zpXOBP6GwndXz7dO5t8A_VYw0MhJRNN</t>
  </si>
  <si>
    <t>Khách đã ck, triều đã chuyển cty</t>
  </si>
  <si>
    <t>Chị Kiều Loan</t>
  </si>
  <si>
    <t>https://drive.google.com/open?id=11W_CLjbpdhxEgF53LUoagE73y-QA-OG1, https://drive.google.com/open?id=13rDiGzfjN6D6CCubfo-SIYcbnQ-Npofd, https://drive.google.com/open?id=1VIXHAAeTWgg-42FMi_SqHZ8ItEoouWX4, https://drive.google.com/open?id=1xCUxmZPNnAFRjla2ffm8AzN4T56_bQI_, https://drive.google.com/open?id=1Ya-GBz0w9TXK9yRKpSC_0g1q0RLgGBTA</t>
  </si>
  <si>
    <t>Khách liên hệ sale ck</t>
  </si>
  <si>
    <t>0903979875</t>
  </si>
  <si>
    <t>https://drive.google.com/open?id=1PXBQbeIPYQ3qiGsbh7hsBhpZpyl7c2Hf, https://drive.google.com/open?id=1MtGsi-MFge5EL7DHBTHYzQ5_DxdbyzK5, https://drive.google.com/open?id=17uIDiboz6_PBh3l1Rfz0mWXVOHh1VPXX, https://drive.google.com/open?id=17rbyRXrAyd5Bun3bl7lxQeFHDBZ5kDD2, https://drive.google.com/open?id=1oay-z6u_fU1nKdt3gLH6A16nBwJOFcCw</t>
  </si>
  <si>
    <t xml:space="preserve">Nước yếu </t>
  </si>
  <si>
    <t>Chị Hằng</t>
  </si>
  <si>
    <t>0948974469</t>
  </si>
  <si>
    <r>
      <rPr/>
      <t xml:space="preserve">https://drive.google.com/open?id=1VON2fXkVAPUw3dIdnoRAiL2R74bQVqVh, https://drive.google.com/open?id=1y754lZZDPiHV9Y1DJfBn4i0-qykEJZ2u, https://drive.google.com/open?id=1umgtlROyUUJRFUOXZ5r3oWzl4i0U60L2, https://drive.google.com/open?id=1PAKzroDN8hQvr1C2-Z8hvIV933iIBSqJ, </t>
    </r>
    <r>
      <rPr>
        <color rgb="FF1155CC"/>
        <u/>
      </rPr>
      <t>https://drive.google.com/open?id=13WUOgDX_487KgCYgOMpIzjNKPnYiSNOI</t>
    </r>
  </si>
  <si>
    <t>Đã lắp xong</t>
  </si>
  <si>
    <t>anh Huy</t>
  </si>
  <si>
    <t>0967933854</t>
  </si>
  <si>
    <t>Bắc Ninh</t>
  </si>
  <si>
    <t>https://drive.google.com/open?id=1ClEnrqikBTqJcblljKf_C90ntGUNOisn, https://drive.google.com/open?id=1bd-acja-JPNi8Z1Su8CEhT_D-AuYUcWS, https://drive.google.com/open?id=1zXb_URA2OJVGCmOtxFh01CAv7SeqkHYB, https://drive.google.com/open?id=1EJoy5djKiTDUtpgyN2ZwJr1A-9ixe58P, https://drive.google.com/open?id=1DGQWyTYVjB8hcl8ItmGLeNNJ3AHj67gK</t>
  </si>
  <si>
    <t>Dán keo Bồn cho KH phí 200k+ ship máy từ anh Cảnh 200k Lắp đặt 210k</t>
  </si>
  <si>
    <t>0977018561</t>
  </si>
  <si>
    <t>https://drive.google.com/open?id=1_pXh2hPtwMRx3r2cQHdXMevX9aiGbn2o, https://drive.google.com/open?id=12zgGzYTvhFa5GkaRPMRhY4awzpyntiCu, https://drive.google.com/open?id=1KfiyN_BENy3fb-wQnu9vSzlTpRoa2rH2, https://drive.google.com/open?id=1h4teKWorK9jKqO3OulVOZno5pm50kfGt, https://drive.google.com/open?id=1RJ-X2xoP2tKVuQ9X1YhbDC70DhXBrVWj</t>
  </si>
  <si>
    <t>Phat sinh 1 jack cái+dây điện: 20k, k thu được khách</t>
  </si>
  <si>
    <t>Chị Mai</t>
  </si>
  <si>
    <t>0909504050</t>
  </si>
  <si>
    <t>https://drive.google.com/open?id=14OJFELprtPihqApfojkM1HInU0gdPod7, https://drive.google.com/open?id=10K-vRq3C0ivIf6xitC8nWqmE-Ml8l9Si, https://drive.google.com/open?id=1bq44SI7a6lbOoLzAGue0QFhoF87u45R8, https://drive.google.com/open?id=1SPRbRWn_QmSKaJp6XtgqVflK1jcefRN2, https://drive.google.com/open?id=1wASPEd9yJYIIETYHlPVkunQK9GCMt2eZ</t>
  </si>
  <si>
    <t>Lắp đặt, máy có sẵn nhà khách</t>
  </si>
  <si>
    <t>Chị Vinh</t>
  </si>
  <si>
    <t>0914983009</t>
  </si>
  <si>
    <t>Đầu nguồn</t>
  </si>
  <si>
    <t>https://drive.google.com/open?id=1-nerueVARPnE7uBwV8W22n2sT3aPGy90, https://drive.google.com/open?id=1QPqQUX3fA26VMQOeBcv2v4K_YE8vQNqb, https://drive.google.com/open?id=17As3hzCwwS1NHyNwLOyz31Bb63FGwD1g, https://drive.google.com/open?id=1SKKj-PE7KoyxyXlG88ssXCpmH0sIMh7G, https://drive.google.com/open?id=1J8oS03lryPYWka8FEus2uPV_9bZGpXhZ</t>
  </si>
  <si>
    <t>Không thu tiền</t>
  </si>
  <si>
    <t>Xxxxxx</t>
  </si>
  <si>
    <t>Bác Đoan</t>
  </si>
  <si>
    <t>Ur 5640</t>
  </si>
  <si>
    <t>https://drive.google.com/open?id=13Q0Ajk4FcvUPgSB8O8JbwZM3r_LAZsf5, https://drive.google.com/open?id=1Hwj3F-7TPplKWV0o0kVIzB3Ep7ny49Ey, https://drive.google.com/open?id=1nWtfjE-7GzmT5zwEhkX8KK2a92Z6-BiJ, https://drive.google.com/open?id=1lHeqXFpUhqvf550j3UV_SaGvlLKYwbV4, https://drive.google.com/open?id=1vEQWTUsIgSbuQ_FiPRh8BZiiC0s8ejb0</t>
  </si>
  <si>
    <t>Ktv bán lọc, thay thu 1243k, chuyển khoản</t>
  </si>
  <si>
    <t>chị Thư</t>
  </si>
  <si>
    <t>0936311695</t>
  </si>
  <si>
    <t>https://drive.google.com/open?id=1465tIXj8KUn5sAznJ8AEJ6plhba9-TDv, https://drive.google.com/open?id=1Dx3oMKrIKgbZROh2coHH9kn39DXHH6iW, https://drive.google.com/open?id=1ep9BN4aCvb6mHt5zuuYy3XtqvwtsybK8, https://drive.google.com/open?id=1wjMNjq2tncG1NB7aQ4K7MWOSvhFv62N5, https://drive.google.com/open?id=1xXm_j3yDQss5f-qO1hSRkg92yvhx5j8T</t>
  </si>
  <si>
    <t>thay lọc truliva</t>
  </si>
  <si>
    <t>Hồ Sỹ Duy Khánh</t>
  </si>
  <si>
    <t>Chị Thương</t>
  </si>
  <si>
    <t>0359381581</t>
  </si>
  <si>
    <t>Gia Lai</t>
  </si>
  <si>
    <t>UR 5676</t>
  </si>
  <si>
    <r>
      <rPr/>
      <t xml:space="preserve">https://drive.google.com/open?id=1dgNMSlfan5zRDO1IbZq9Xn63uUzcBmOz, https://drive.google.com/open?id=1bDsaKVPSZc_u79o2WpgJjFsO27TO7XCE, https://drive.google.com/open?id=1wxnmW2eiNJJ95Cv1iOi3xwcK3Fl94ykw, </t>
    </r>
    <r>
      <rPr>
        <color rgb="FF1155CC"/>
        <u/>
      </rPr>
      <t>https://drive.google.com/open?id=18o4rKBH1eTIhIgB31cXWKas1Yw7loa7W</t>
    </r>
  </si>
  <si>
    <t>Anh Hoàng</t>
  </si>
  <si>
    <t>0944147747</t>
  </si>
  <si>
    <r>
      <rPr/>
      <t xml:space="preserve">https://drive.google.com/open?id=1ujwbo71Bp2zekxpvI2OjtH0Ol_pv7h6F, https://drive.google.com/open?id=1u44-ymd_e-2dkiK7a_OvvnGQHQCPFIuS, https://drive.google.com/open?id=15SiU_u5jWxdp2NvjJU62EwKeCtoNoqB-, https://drive.google.com/open?id=19_KDr4y6H72aQXWwECVDjcuveZll6ZD8, </t>
    </r>
    <r>
      <rPr>
        <color rgb="FF1155CC"/>
        <u/>
      </rPr>
      <t>https://drive.google.com/open?id=1L3t6wALInhsnTTcQ8JeYJBJuy5afpvI7</t>
    </r>
  </si>
  <si>
    <t>Kho ship máy, ktv nhận lắp đặt, khách ck sale</t>
  </si>
  <si>
    <t>Chị Diệu Tâm</t>
  </si>
  <si>
    <t>Hỏng vòi nước</t>
  </si>
  <si>
    <r>
      <rPr/>
      <t xml:space="preserve">https://drive.google.com/open?id=1dV6dV7pe8lKn0XqxCNTJO6AWb6z8N1R1, https://drive.google.com/open?id=14rHSb1A_MIRiHIWv8CaZy_zk_3g9Egvj, https://drive.google.com/open?id=1t_dtThZ93ZMzqpk7XrTlNECO1Yb2-BH3, https://drive.google.com/open?id=18uSpGThEMdQV4-qYB5EnNEtpXRNm7xxY, </t>
    </r>
    <r>
      <rPr>
        <color rgb="FF1155CC"/>
        <u/>
      </rPr>
      <t>https://drive.google.com/open?id=1pOmcne86JDR_BzMtqmvI2otyaIAFS143</t>
    </r>
  </si>
  <si>
    <t>Thay vòi mới, bảo hành, k thu tiền, đem vòi củ về</t>
  </si>
  <si>
    <t>Chị Nguyệt</t>
  </si>
  <si>
    <t>0988248233</t>
  </si>
  <si>
    <t>https://drive.google.com/open?id=1UU7cb5gsQoHAMuZEELOGuLo0QWHnmLir, https://drive.google.com/open?id=1z4JMVu2Zlagu0Ten9i-F7HEHSIrbPFN8, https://drive.google.com/open?id=1G2U8hp5bzJ4CeAbHf3aBdhUDOdHKtNpw, https://drive.google.com/open?id=1-BZfdYmkyMByuJJ0uD-SzFXKFXvsE2fM, https://drive.google.com/open?id=1gHvYvqkLgcf0VMIdjImV68KQbUwUUcvP</t>
  </si>
  <si>
    <t>Giao lắp, ca này chở +50k anh nguyên dặn. Khách đã ck, ktv quên chụp màn hình</t>
  </si>
  <si>
    <t>anh Thắng</t>
  </si>
  <si>
    <t>0977120000</t>
  </si>
  <si>
    <t>Truliva ur5676</t>
  </si>
  <si>
    <t>https://drive.google.com/open?id=124HPTtiue3LjzdhfWpCSVeV88vfwgFj4, https://drive.google.com/open?id=12g7CLhYYFYtWFyrI4avegn-TjGhvV4hb, https://drive.google.com/open?id=19X35brZ_ywlqqYxYh-JheRMphtyTvk5u, https://drive.google.com/open?id=1wWNNTKKJU7lC1OzFsTDG_NtYXm-wOiEm, https://drive.google.com/open?id=1uvaFxB_B_mZZuZUXkkDFcVDY_T3QgCnx</t>
  </si>
  <si>
    <t>truliva ur5676</t>
  </si>
  <si>
    <t>Chi Phượng</t>
  </si>
  <si>
    <t>UR 61096H</t>
  </si>
  <si>
    <t>https://drive.google.com/open?id=1Tss_alBiEoDwer-fi0ylS8aLnjHmyUuN, https://drive.google.com/open?id=1aIXpFESp6iIPnxo5qg1nSQ32GR2hmKns, https://drive.google.com/open?id=1JkdiyyBFaRwH7of0TEnClVLRYL46TmW4, https://drive.google.com/open?id=1o8ikGI-TT1hHcFZ_ZpWpuzfCNYWi-14x, https://drive.google.com/open?id=11D-m-toIYd7_bj4RZSskQu9-IkoU65Pr</t>
  </si>
  <si>
    <t>Kho giao máy, ktv nhận tại nhà khách lắp. Đã chuyển khoản cty</t>
  </si>
  <si>
    <t>Ur 3676</t>
  </si>
  <si>
    <t>https://drive.google.com/open?id=16cvop5Z3xpLa9-CT5h5f5GgBUW--jkjv, https://drive.google.com/open?id=1qC-TySSrt_bZ7cy4M-Bd3VzFBHpxQeP7, https://drive.google.com/open?id=1fBHs27jxSQ0MHOibm73T6CzrHmZsA_C1, https://drive.google.com/open?id=1oRF5etAF5f__G_CMdM4G5NGv8k-VCsKP, https://drive.google.com/open?id=1OJK7D-3wgJXLtcor7lA5vrIQHvV6LtNN</t>
  </si>
  <si>
    <t>Đã báo khách, a nguyên. Xong máy giặt sẽ lắp</t>
  </si>
  <si>
    <t>Chị Thanh Tâm</t>
  </si>
  <si>
    <t>0937740161</t>
  </si>
  <si>
    <t>https://drive.google.com/open?id=1Y5sRoTnZ2YpjlIia4lfAP78nM5Cv7XrI, https://drive.google.com/open?id=12tgsIju8r5-n3lTEar9yjbI3zfudWTXj, https://drive.google.com/open?id=14lgsu_InXy_c1TD4ntqPm9Urvdf9kWqG, https://drive.google.com/open?id=1711H7EuInpatwCVhjmBpPb0K9jmWuN5A, https://drive.google.com/open?id=1bjcFxrO7zDCqAJlk1TwFZ0UJ6eeuI7RL</t>
  </si>
  <si>
    <t>Khách đã chuyển khoản. Ktv bán 3 lọc giảm 15%. Đã báo anh minh-nguyên</t>
  </si>
  <si>
    <t>Lê khánh</t>
  </si>
  <si>
    <t>0985493226</t>
  </si>
  <si>
    <t>4 máy truliva</t>
  </si>
  <si>
    <t>https://drive.google.com/open?id=1v2zf8j3sFDKGFHC5xiBRKKz_4ab-o-AC, https://drive.google.com/open?id=1EZN8xCLqlO8Wb40a2fZ0RVHjnyxGAadK, https://drive.google.com/open?id=1FDHMnzghAbnvwNMUjbMqbIWOtEHc-M6D</t>
  </si>
  <si>
    <t>Ktv trả tiền cước xe 350k</t>
  </si>
  <si>
    <t xml:space="preserve">Lê khánh </t>
  </si>
  <si>
    <t>Máy truliva 5 máy</t>
  </si>
  <si>
    <t>https://drive.google.com/open?id=10vXq0n1NxTFxmTACtBzAn0Ufvs9IeNAw, https://drive.google.com/open?id=1pqWBMJrLb90TLFxudu3ctWiAkLUKpL1t, https://drive.google.com/open?id=1x2mLLq6iU-CZOi-20_JWfq_CxqpWzTyT</t>
  </si>
  <si>
    <t>374k ktv trả tiền cước vận chuyển</t>
  </si>
  <si>
    <t>A cường</t>
  </si>
  <si>
    <t>0977810445</t>
  </si>
  <si>
    <t>Lõi lọc truliva</t>
  </si>
  <si>
    <t>https://drive.google.com/open?id=1tPiCYbfYFdDFMBMVDno5jqlBclTU0Ivo, https://drive.google.com/open?id=1U6XZ1IgEn2pdaJrpqFeeTQac5ohmzPUv, https://drive.google.com/open?id=1F9PTNSXFnswPRT88E_pRkbrlPoQWvHKI, https://drive.google.com/open?id=1JU8g6GAyV98VmwnTx77vz9cVbrR6-LXC, https://drive.google.com/open?id=1qbbLgtdqjVcsOO2qCII4xrwXjb2GULdm</t>
  </si>
  <si>
    <t>Gửi lõi lọc cho cường sơn tây trả phí 42 k</t>
  </si>
  <si>
    <t>Cô Lan</t>
  </si>
  <si>
    <t>0908900522</t>
  </si>
  <si>
    <t>Ur 5440</t>
  </si>
  <si>
    <t>https://drive.google.com/open?id=1BnhOSJIArTEVLEj8CtfxAK1EH9WxdW50, https://drive.google.com/open?id=1Zm-tQnTdtNWLx-Xn0aOC3Y9SZSw4DytP, https://drive.google.com/open?id=1Mc-9jl7WXS4vibzAKJb_LToUzW0iJZkT, https://drive.google.com/open?id=1lvOOYTBmLmdezqvYoM_SQAc63ZVY-Xwj, https://drive.google.com/open?id=10Zb4tPbee6AfY3eArPp9ze1RtM03myGB</t>
  </si>
  <si>
    <t>Tiền mặt 1243k đã thu</t>
  </si>
  <si>
    <t>Anh Vinh</t>
  </si>
  <si>
    <t>0902470990</t>
  </si>
  <si>
    <t>https://drive.google.com/open?id=1_ZMwwFzMJmxzkFWi2kSNkZTIUrx-b3fF, https://drive.google.com/open?id=1aA04ap2S5dXxRrLY0S9icyEtY3GpRCi8, https://drive.google.com/open?id=1CI45zisbt117uoAxc7ZjiUY2DJCw5SL-, https://drive.google.com/open?id=1DI8Aa9ORW7B3INdvU7_krSKcLrxkRonf, https://drive.google.com/open?id=1LFnp5G5c2EgK8kjck_DrZlZ39dG9Hamc</t>
  </si>
  <si>
    <t>Khách chuyển khoản. Ktv bán lọc giảm 15% đã báo anh minh-a nguyên</t>
  </si>
  <si>
    <t>Hoàng Nga</t>
  </si>
  <si>
    <t>0976562656</t>
  </si>
  <si>
    <t>ur61096h</t>
  </si>
  <si>
    <t>https://drive.google.com/open?id=1Okg7TyhJ1xtRqN0ajyo60AmG0Dzls4zo, https://drive.google.com/open?id=1cA9ym27snUv70HiXcl-T668938DdaxKF, https://drive.google.com/open?id=1EHR9ssNijs7Ln51DIXgOWN_P4xm8_V6Z, https://drive.google.com/open?id=1-UV8kGjrY9EVuNRznbzB2h5CQHsV4lHH, https://drive.google.com/open?id=1ydParQMXag3qEVOAHzvHfxBA0dfoFPhO</t>
  </si>
  <si>
    <t>K</t>
  </si>
  <si>
    <t>Cô Vân</t>
  </si>
  <si>
    <t>0326664263</t>
  </si>
  <si>
    <t>UR 5840</t>
  </si>
  <si>
    <t>https://drive.google.com/open?id=1J8Yfwt5CeS0uftIsEvhjgJTGtvJspgUI, https://drive.google.com/open?id=1nvqOktvb9kAvt6hieyFA2xeA-nEMpRPU, https://drive.google.com/open?id=19-KxrE_ruYj_antIbyBPzCK1XJv6mpZ6, https://drive.google.com/open?id=1K30cDWAqw2FyuWK3B4IjADlCDsFE_HeD, https://drive.google.com/open?id=1e9uJRRTfRgPV393w0cUUMBc_uXtrdeHI</t>
  </si>
  <si>
    <t>Đã thu tiền mặt, nộp cty</t>
  </si>
  <si>
    <t>Lê khanh</t>
  </si>
  <si>
    <t>0915359288</t>
  </si>
  <si>
    <t>Cto pgp máy 5840</t>
  </si>
  <si>
    <r>
      <rPr/>
      <t xml:space="preserve">https://drive.google.com/open?id=1yu4MPePlJMkP6U8o-yuXUMjgePP5GhHK, </t>
    </r>
    <r>
      <rPr>
        <color rgb="FF1155CC"/>
        <u/>
      </rPr>
      <t>https://drive.google.com/open?id=17HR3BKrZddYuou_r-eWHFrF4GHyriiTV</t>
    </r>
  </si>
  <si>
    <t>Đã ck cty</t>
  </si>
  <si>
    <t>Mai an</t>
  </si>
  <si>
    <t>0978606868</t>
  </si>
  <si>
    <t>Máy 5840</t>
  </si>
  <si>
    <t>https://drive.google.com/open?id=1sfpGF6kbsK0v9eFRjZ0nizBghj9-MB7q, https://drive.google.com/open?id=1lO6ejHQUlrEWP50ih8_fD4KO6x6eq13_</t>
  </si>
  <si>
    <t>Giang</t>
  </si>
  <si>
    <t>0869835676</t>
  </si>
  <si>
    <t>5640 thay cto pgp Ro</t>
  </si>
  <si>
    <t>https://drive.google.com/open?id=13R9t6Hy-NCKWXUS3A1wntPiE7oFmN3YE, https://drive.google.com/open?id=1_ePYugyfn8HF_lgNLQekcp1rbcuGAvv2</t>
  </si>
  <si>
    <t>0819369966</t>
  </si>
  <si>
    <t>https://drive.google.com/open?id=1caG2dRjcLyVIWLIaBRVGvUFBbOc7MUnt, https://drive.google.com/open?id=1EsP_MdtdFAPSv-O-Tnmmvc94xpi2HH1c</t>
  </si>
  <si>
    <t>Trang</t>
  </si>
  <si>
    <t>https://drive.google.com/open?id=1t7RNdgIuzFj_Za1UbBQKVWnh0T1wXfXt, https://drive.google.com/open?id=1fvyTgv9qwdXAarcHX7WfD8BkVEn-3e-4</t>
  </si>
  <si>
    <t>Cô Cúc</t>
  </si>
  <si>
    <t>0986434737</t>
  </si>
  <si>
    <t>5840 thay cto php Ro</t>
  </si>
  <si>
    <t>https://drive.google.com/open?id=1KHX_XBVi7Fug3vO9tsCy9O2NB_1LtjX4, https://drive.google.com/open?id=1VFFiUQx72f99h02py8PNhG-od4jjE-xW</t>
  </si>
  <si>
    <t>Xxxxc</t>
  </si>
  <si>
    <t>Minh hương</t>
  </si>
  <si>
    <t>0971766789</t>
  </si>
  <si>
    <t>https://drive.google.com/open?id=1t_k6vGkIfKKoQ3D1sX8wgRLsk4p9JH3X, https://drive.google.com/open?id=16h8pRVoiNZyZ_Xb4KYP1Fz2_fs8Fwqt3</t>
  </si>
  <si>
    <t>Chị My</t>
  </si>
  <si>
    <t>0383859856</t>
  </si>
  <si>
    <t>https://drive.google.com/open?id=1sJ_GhUfHa_0qo7LxX1BuUevBtSqHPKBf, https://drive.google.com/open?id=1xYS4EObRnUs7Gxj7J1UGgIyhXb7Ugoic</t>
  </si>
  <si>
    <t>Chu quý quốc</t>
  </si>
  <si>
    <t>0984265328</t>
  </si>
  <si>
    <t>U R61096H</t>
  </si>
  <si>
    <t>https://drive.google.com/open?id=1P8IixQESQ3cxWMNNP1t63Asb3g9OnBFN, https://drive.google.com/open?id=1s3XujNErF_peNR7FWubaLZnOsE0TgG6Q, https://drive.google.com/open?id=1XpjituhPk6rScyDOfajKcRJ4xTCZvjcd, https://drive.google.com/open?id=1sKIdYvkasFBJOqdhnJWjRUVDpy21s2F6, https://drive.google.com/open?id=1iz1FH0TQBz-9l5JH_TGATXfHiIft4rfc</t>
  </si>
  <si>
    <t>Đã lắp đặt</t>
  </si>
  <si>
    <t>ANh Đông</t>
  </si>
  <si>
    <t>0384928901</t>
  </si>
  <si>
    <t>Hưng Yên</t>
  </si>
  <si>
    <t>https://drive.google.com/open?id=1QnCV-UwwvNGAdlc56BqmRoQyUhsgVSfy, https://drive.google.com/open?id=1R4FlFfktKr3zlsYiflaqDSnUGsConer4, https://drive.google.com/open?id=1wR1fU2-WS0pyZq2QiCpalcrMdU69MQth, https://drive.google.com/open?id=1cX_Or0ZGF0ixqTE56Cwx4zRngipbYZ6N, https://drive.google.com/open?id=1mz3s7yKfOrTADFXtKmDatwTeHJfuRu1m</t>
  </si>
  <si>
    <t>Giao Lắp máy mới 30km</t>
  </si>
  <si>
    <t>https://drive.google.com/open?id=17TOPX5DxQ4OLXv8l6TaEC0teBV3EH9Ou, https://drive.google.com/open?id=1eyL3iOILFqC5n39WR_yebm5gGrF3pXac, https://drive.google.com/open?id=1A5mu6twwrqtN3w9D646lNid5QC-UnLw9, https://drive.google.com/open?id=1qpoaq4C38O7u2lqlPZGcpC43ZDBEcUZi, https://drive.google.com/open?id=1KHYhTFJpH-VifasyDPfcIiz1-8qkzMAG</t>
  </si>
  <si>
    <t>Không thu tiền, đi lần thứ 3 mới thay được</t>
  </si>
  <si>
    <t>0909077757</t>
  </si>
  <si>
    <t>https://drive.google.com/open?id=1w_YaiWecv2e0PJndJUK9M3plR6bM4c88, https://drive.google.com/open?id=1QFhNQh15rMyDVYi-AMYmu7ddzIIMLdkA, https://drive.google.com/open?id=1h6hk4A_9LXZRJn7gzuE4Zs7zfKm0glbt, https://drive.google.com/open?id=1lGGcy_evoQyZEk8E0uCfVGulTGNExfbq, https://drive.google.com/open?id=1Kqy4f2A0PDg3_sS1AGzemQn64uhcGl-b</t>
  </si>
  <si>
    <t>Khách chuyển khoản, đã chuyển cty 850k</t>
  </si>
  <si>
    <t>0931839255</t>
  </si>
  <si>
    <t>https://drive.google.com/open?id=1hWlBWN0Wmu-o-esBFuhVT9Yr73F5UYlX, https://drive.google.com/open?id=1NyAlUjdqu74SEZj4Z7D6x2rHL2bIm9OH, https://drive.google.com/open?id=1aya1kdN2Y7ZxRdm-_hgIfvKSGBuR1Y9x, https://drive.google.com/open?id=1RjYCYGWc1QWkk7rIavYT0P49AG-IE7l1</t>
  </si>
  <si>
    <t>Khách đã chuyển khoản cty, đã báo nguyên</t>
  </si>
  <si>
    <t>Nguyễn Ánh</t>
  </si>
  <si>
    <t>0974696340</t>
  </si>
  <si>
    <t>https://drive.google.com/open?id=1iq2-7gptLPuy5C9EC9EmX79M7atHw5Ro, https://drive.google.com/open?id=1Qxgj7KaXJgSY8NMKAyz_tyvQc8-NqRlL, https://drive.google.com/open?id=1reX4nszeKjhHHPdz6GnlkE57tV5LJzn9, https://drive.google.com/open?id=1RxBqD-3uSc-9y2Vn9ny38uCaqbGmST6X</t>
  </si>
  <si>
    <t>lắp đặt mới</t>
  </si>
  <si>
    <t>0917445523</t>
  </si>
  <si>
    <r>
      <rPr>
        <color rgb="FF1155CC"/>
        <u/>
      </rPr>
      <t>https://drive.google.com/open?id=1WqTowacTxpBZoggZ9LyteSqMTYYpBDSc</t>
    </r>
    <r>
      <rPr/>
      <t xml:space="preserve">, https://drive.google.com/open?id=1dqFzlegE0HCJfb4XhUzX8OAfAt9rreU_, https://drive.google.com/open?id=1G2F1jWbZbzkl63t7uxwbz1TZceRHIPDi, https://drive.google.com/open?id=1bc_AMB9tEgIrxhnP5yAHfXBFz_zdKrwV, </t>
    </r>
    <r>
      <rPr>
        <color rgb="FF1155CC"/>
        <u/>
      </rPr>
      <t>https://drive.google.com/open?id=13Z4vz21wpUL5INwdXCmzoC042NauJgEJ</t>
    </r>
  </si>
  <si>
    <t>Khách đa ck cty, khách không kích hoạt zalo OA.</t>
  </si>
  <si>
    <t>Anh Thanh</t>
  </si>
  <si>
    <t>0989158489</t>
  </si>
  <si>
    <t>UR 5440</t>
  </si>
  <si>
    <t>https://drive.google.com/open?id=19HllI-n6YR8n3YnluaJUdFdd4nzHR6xh, https://drive.google.com/open?id=1pXbftZw9LxI7gExa9IcYXXokaNcAXo4C, https://drive.google.com/open?id=1_1jCrAcOiv23iBaBqWqMkW4nqNzV5afA, https://drive.google.com/open?id=1_d6aiXR8DH1B5HBJvFKa84PKDpRQ8tbx, https://drive.google.com/open?id=1gQkrHLxRmXlVNFfoR5wpwAfQ-Emg5EJ6</t>
  </si>
  <si>
    <t>Đã ck a Nguyên. Nay 3 ca ktv dán qr đủ, quên chụp</t>
  </si>
  <si>
    <t>0917216666</t>
  </si>
  <si>
    <t>https://drive.google.com/open?id=1SjwzjkeHTFqJm0N-__E3HV1TZsHR6qTq, https://drive.google.com/open?id=1DqfGdt-jUxZR7FyheHv6vx-eHfwOACqH</t>
  </si>
  <si>
    <t>0886831841</t>
  </si>
  <si>
    <t>TRULIVA 5767</t>
  </si>
  <si>
    <t>https://drive.google.com/open?id=1Z2dZMghLNBwDwsZNZxS1MpgtU0NUQ11G</t>
  </si>
  <si>
    <t xml:space="preserve">KTV Nông Thành Chính đã hoàn thành ca giao hàng + lắp đặt </t>
  </si>
  <si>
    <t>Chị Châu</t>
  </si>
  <si>
    <t>0908776293</t>
  </si>
  <si>
    <t>https://drive.google.com/open?id=1ZcJjMn09DLmG3n0kdzIqbMzO0vuVDdul, https://drive.google.com/open?id=1oiBC0Dzmj8Kn3rucUbV6Eqi0HICwiZm8, https://drive.google.com/open?id=1egMM_vxkouVkfzqRjfjdneEORRGoyMV-, https://drive.google.com/open?id=1OqKKjXjyO8m4e8GdSNa5WVFoAy8f2_uJ, https://drive.google.com/open?id=1uUFdQUYhPMMmVO7AwCxnJqpBUh448woV</t>
  </si>
  <si>
    <t>Khách đã ck, đã xuất hđ</t>
  </si>
  <si>
    <t>Chị Đức</t>
  </si>
  <si>
    <t>0918992468</t>
  </si>
  <si>
    <t>https://drive.google.com/open?id=1CrtLhSFpDSLxxqE2mUfvtJ6JkK2v9klU, https://drive.google.com/open?id=1XDvYcO3B9n9zoUS0YyEYgO9ysvMwHURA, https://drive.google.com/open?id=1j9v-jjM_ByZCLnMl-Xjj4rhQ-llwUZEQ, https://drive.google.com/open?id=1SX7G8uEIkkVQFIC5wLZCIZbdOKPdsQRP, https://drive.google.com/open?id=1-B0Fs7cLTut6cAGxDQu9b8Yr3l2WTaeq</t>
  </si>
  <si>
    <t xml:space="preserve">Tiền mặt 1405k. </t>
  </si>
  <si>
    <t>0913611855</t>
  </si>
  <si>
    <t>https://drive.google.com/open?id=1pm08xCCp6KMXxEQd2zAiKgEGDNy7CYov, https://drive.google.com/open?id=154KGciC_4z0p1SeA2LQZ5zOL8QXXwq7S, https://drive.google.com/open?id=1W0TtMgTkCz4Q2WHlkZ7HMgG6UOt7ns_6, https://drive.google.com/open?id=1Fi9euUjDo4hA4BTDBZGe5vU99kywdi7D, https://drive.google.com/open?id=110c_g9xd1cE3IVKMiIrJrUYwHErMnbyB</t>
  </si>
  <si>
    <t>Khách ck sau. Đi làm chưa về</t>
  </si>
  <si>
    <t>Chị Oanh</t>
  </si>
  <si>
    <t>0904808282</t>
  </si>
  <si>
    <t xml:space="preserve">Truliva </t>
  </si>
  <si>
    <t>https://drive.google.com/open?id=1Dhmvk0UdKDJds0DM4Vb0Da-TzO73ngIQ, https://drive.google.com/open?id=1N_peb74vcM--DoAiZ8WoVAf_UPjTbfgd, https://drive.google.com/open?id=1Ufz1-1SVnyy3gW2RxxNjxpfWBhcjmkQN, https://drive.google.com/open?id=155bW67-eVnXXV0pxCm0Vf3Duq2Gcbsmi, https://drive.google.com/open?id=1INoQZAg2LznZnX5LQGFlMVMitkVY4u5w</t>
  </si>
  <si>
    <t>Giáo và lắp đặt máy,8km</t>
  </si>
  <si>
    <t>Anh Nam</t>
  </si>
  <si>
    <t>0983396996</t>
  </si>
  <si>
    <t>https://drive.google.com/open?id=1YGIcQnBwF1KPLEaTciuW6iECeGxcA7lz, https://drive.google.com/open?id=1bfETOFcuut5i7fVMN_ghMEgLA-imtbg0, https://drive.google.com/open?id=1Vw0N-UwqfcLbWxcgUZLVfHHdFXGu0zl1, https://drive.google.com/open?id=1OlHulCM2RZyxExaf4Ojw6Mu-PlNqILB4, https://drive.google.com/open?id=1gIVmSZAdq1TI3uqVi7wq6lm7LAKtsIKN</t>
  </si>
  <si>
    <t>Quyết Long Khánh</t>
  </si>
  <si>
    <t>Chị Thùy</t>
  </si>
  <si>
    <r>
      <rPr/>
      <t xml:space="preserve">https://drive.google.com/open?id=1XFlCJm8DrBqFi1HuORxoFs9EyW7arz8N, </t>
    </r>
    <r>
      <rPr>
        <color rgb="FF1155CC"/>
        <u/>
      </rPr>
      <t>https://drive.google.com/open?id=1cJRzim-nMozm3Xq-Fj0xVMt5VorSp0Y8</t>
    </r>
    <r>
      <rPr/>
      <t xml:space="preserve">, https://drive.google.com/open?id=1Ci24xRgAiQIxYopV8hnbj_VCsb74jbeq, </t>
    </r>
    <r>
      <rPr>
        <color rgb="FF1155CC"/>
        <u/>
      </rPr>
      <t>https://drive.google.com/open?id=1j-8tOjOt-q5fhd0ThlWA3UW-aoIMg_oB</t>
    </r>
  </si>
  <si>
    <t>https://drive.google.com/open?id=1XFlCJm8DrBqFi1HuORxoFs9EyW7arz8N, https://drive.google.com/open?id=1cJRzim-nMozm3Xq-Fj0xVMt5VorSp0Y8, https://drive.google.com/open?id=1Ci24xRgAiQIxYopV8hnbj_VCsb74jbeq, https://drive.google.com/open?id=1j-8tOjOt-q5fhd0ThlWA3UW-aoIMg_oB</t>
  </si>
  <si>
    <t>Lắp đặt mới Phí 500k+ 70K dây điện phích cắm</t>
  </si>
  <si>
    <t>cô Cúc</t>
  </si>
  <si>
    <t>0904603618</t>
  </si>
  <si>
    <t>https://drive.google.com/open?id=15R5Vw8j5oICgnuevVMNf-d523rb8Ov7-, https://drive.google.com/open?id=1hMtUdvcyEBonGa2-uJhLbMfYqTDB-yJ9, https://drive.google.com/open?id=1lZ_xxES9e3ktlchcupKDHU7qAvVWmXRe, https://drive.google.com/open?id=135JayCL7ZQe3ZBbkiPnkCVgsKmwYoITU, https://drive.google.com/open?id=16dy3OWIMMUCRn29qiMQ9wH-n9Moi7XJg</t>
  </si>
  <si>
    <t>...</t>
  </si>
  <si>
    <t>Hải Yến</t>
  </si>
  <si>
    <t>0973427860</t>
  </si>
  <si>
    <t>Máy báo đỏ 3 đèn</t>
  </si>
  <si>
    <t>https://drive.google.com/open?id=1P3L0xuQHlMH8ZPj1d3iGP7uJa7kJor61, https://drive.google.com/open?id=1BFZsPctE3V0Nzmw6gqDGQ55XY7stPoJ1, https://drive.google.com/open?id=1l9fJSxg7xiuV2JVHCzxzDVXeBx3N06qp, https://drive.google.com/open?id=1Cdp1HqL-TZbwLepN12dUYxfZSvpLg1W2, https://drive.google.com/open?id=1LwYFwWb4eEPtgiMK2s5FAo_BNbrAKsQe</t>
  </si>
  <si>
    <t>Thay phích cắm 10k</t>
  </si>
  <si>
    <t>Chị ngân</t>
  </si>
  <si>
    <t>0988081407</t>
  </si>
  <si>
    <t>Pgp cto Ro 58</t>
  </si>
  <si>
    <t>https://drive.google.com/open?id=1b7V8RIN5eSWNS3PC1NJF3qWdDIcJHzMQ, https://drive.google.com/open?id=1PZFbm4dOqbgA4xzX8d1z18is_5wGuIuI, https://drive.google.com/open?id=1Fegm7tJ1hDV5EK9lYLANft2kfRkJgakI, https://drive.google.com/open?id=1fM8WWGd3bqdyL8d54AkUAAbak1l_1DEk</t>
  </si>
  <si>
    <t>Aa</t>
  </si>
  <si>
    <t>U R5676</t>
  </si>
  <si>
    <t>https://drive.google.com/open?id=1U_IfnwGzdFRMX6NtpVGcI3J_K_ks2FdR, https://drive.google.com/open?id=1gdTdURgmxyCXj5Kx25D_MDf3VWRJxvul, https://drive.google.com/open?id=1k7Morxvj_voTCxFt2EOb_ryGTvEVniGy, https://drive.google.com/open?id=1kKIw2V9csdss_CSXt1OPsIZtqw7qsmgz, https://drive.google.com/open?id=1_Bgav0B-v45AmPkyB4CP2qEa_Jkeaaiw</t>
  </si>
  <si>
    <t>Đã lắp máy song máy hoạt động tốt</t>
  </si>
  <si>
    <t>30km</t>
  </si>
  <si>
    <t>Chị hằng</t>
  </si>
  <si>
    <t>0909665666</t>
  </si>
  <si>
    <t xml:space="preserve">Pgp + cto 5840 </t>
  </si>
  <si>
    <t>https://drive.google.com/open?id=1bDH9sJX6rLUyyh7Mt2PbntrA0gp1HI8N, https://drive.google.com/open?id=1OVRtVlLc32S0JI2pLeau54AA0sjXBz0Q, https://drive.google.com/open?id=1NA-4t2SI6oKCquXbMr-b_4iyfQ2aIDML, https://drive.google.com/open?id=1lFTIHrrrJ3fAy-B2WKPnoiTQxqvrTd-W, https://drive.google.com/open?id=1eV1Ar4ROP6l3kky_-eLyJz5cOuyESJJ6</t>
  </si>
  <si>
    <t>Chị Thu Hà</t>
  </si>
  <si>
    <t>0972589297</t>
  </si>
  <si>
    <t>https://drive.google.com/open?id=1uU_pM_6FG1V4mVg37i1GDTbRJZfl1WBv, https://drive.google.com/open?id=1aja6bNV-kJyBSSAhCd8aabjuBn92wudO, https://drive.google.com/open?id=1q46HSj1okrG0SSWzOGREl56dDk6SmWIN, https://drive.google.com/open?id=1ilAV-s3t_1F1jNu6cy9JT8_JtPxqtGJ8, https://drive.google.com/open?id=1G8QXMKly1X3RwMzfl_nslacKMWyYOjzg</t>
  </si>
  <si>
    <t>Lắp</t>
  </si>
  <si>
    <t>0336818599</t>
  </si>
  <si>
    <t>https://drive.google.com/open?id=1_meTS8O9SGhQZlPSqB-XZNtRXIq0Lw0s, https://drive.google.com/open?id=1BnxnjbujyPww3IfzaPLKQc1spqo8LXg3, https://drive.google.com/open?id=1tR2d-hqEEGsSE7GS_4eL8OmWtUmdbeKp</t>
  </si>
  <si>
    <t>Đã ck cho Nguyên</t>
  </si>
  <si>
    <t>Anh Hiếu</t>
  </si>
  <si>
    <t>0918200902</t>
  </si>
  <si>
    <t>https://drive.google.com/open?id=1G_1GSWMBYkVyohQam87awp75AIvdOSzK, https://drive.google.com/open?id=1MiO3d5oM8k8dJK3LO9KNblKDYIqSrb0n, https://drive.google.com/open?id=1lPg5cBig7t4sM2yNbj-l-BMj6eu6Wqs7, https://drive.google.com/open?id=17yH1ECSoEVKFAzh9InQ4Rb4bZ2mhRpWn, https://drive.google.com/open?id=1LdtHNzPq0u0v6ZsVxtVem7RBTN_4U29A</t>
  </si>
  <si>
    <t>Anh Vương</t>
  </si>
  <si>
    <t>0919393204</t>
  </si>
  <si>
    <t>https://drive.google.com/open?id=1GCVbLDU2xGMLVd8NDIXMqhN2f79u-lNN, https://drive.google.com/open?id=1h2q26OyNMd_rRWKNJyjd-tOJoqbSKhmF, https://drive.google.com/open?id=1GB5LvKjWUjNRbjjUosQ8vviEL2sNJxjr, https://drive.google.com/open?id=1Zz6NHpQjx1GlcRzHvJubEB0a3kxrGkQx, https://drive.google.com/open?id=1SjUTswfApZEPov-OH8CT9svZQqA01M48</t>
  </si>
  <si>
    <t>Tiền mặt 1405k</t>
  </si>
  <si>
    <t>0907608169</t>
  </si>
  <si>
    <t>https://drive.google.com/open?id=1DLJXK3QorkUUkc2TvgkllhyzafUywLal, https://drive.google.com/open?id=1S7bAU2LtzhCcMeCztvRiuls1qrXbY3rK, https://drive.google.com/open?id=1UMvQEXEqeQgVSHtc-TEngcLnkkxKxJUr, https://drive.google.com/open?id=14GPDPoV5FryoYSfQ08xumyvEfcqr85HJ</t>
  </si>
  <si>
    <t>Khách chốt vs sale, kỷ thuật liên hệ ktv</t>
  </si>
  <si>
    <t xml:space="preserve">A Thinh </t>
  </si>
  <si>
    <t>0903112074</t>
  </si>
  <si>
    <t>Pgp va cto 58</t>
  </si>
  <si>
    <r>
      <rPr/>
      <t xml:space="preserve">https://drive.google.com/open?id=1P74ubKg12aYliaLntNxbzNd8H4W9IiTH, https://drive.google.com/open?id=1DGlWCVOQnfsjh1zp6iTbxMGZGhAmKiAj, https://drive.google.com/open?id=1XyQpU5NprW-7ZZ9Ys0RsHlw2472nFEkg, https://drive.google.com/open?id=1JaGhxIqPU4Mt-q-XgNw9AkPlkJda-M25, </t>
    </r>
    <r>
      <rPr>
        <color rgb="FF1155CC"/>
        <u/>
      </rPr>
      <t>https://drive.google.com/open?id=1r6CmvzPVyNJMxFZxHQxgkK3EClrVuIgW</t>
    </r>
  </si>
  <si>
    <t>Thay gkk</t>
  </si>
  <si>
    <t>Anh tín</t>
  </si>
  <si>
    <t>0918486068</t>
  </si>
  <si>
    <t>https://drive.google.com/open?id=1rduWHBzF5fDmgfl9Wr2yyDV_rOKb_slN, https://drive.google.com/open?id=1XKLTuOnnj6Yma55_N6VYQFgZ2oC2sbAG, https://drive.google.com/open?id=1BKj_0dVk3KG3xtZhY-9FFm8pbVH9uNGH, https://drive.google.com/open?id=1IN0LgXpOFzgSbHsSI6OUpR_SlFJwPBfD, https://drive.google.com/open?id=1Ccw05MB8C1E3uAn8fNG0-w6RwhHXfFjq</t>
  </si>
  <si>
    <t>Tiền mặt mai đưa a Nguyên, tháo casa x</t>
  </si>
  <si>
    <t>Anh long</t>
  </si>
  <si>
    <t>0898085868</t>
  </si>
  <si>
    <t>https://drive.google.com/open?id=1oH5hE0cR9LgQpaEuUfP3b6ZjM95dabgA, https://drive.google.com/open?id=1QtBVnubN4_EdSLeKqsdcthFs4gauMI0_, https://drive.google.com/open?id=1LchyTiPW6Ho_-qERGa9Ihme0KLgiAEvW, https://drive.google.com/open?id=12zHLqRdYFdOiMgf28U1ZjHjTSV72fVuV, https://drive.google.com/open?id=1PDC69aR0f8BQA5lgBr_3f761akjAOYSU</t>
  </si>
  <si>
    <t>Ck 1243, ck a Nguyên</t>
  </si>
  <si>
    <t>https://drive.google.com/open?id=1e6mrzmgSL_YIHev49OzmePQ4FMiZWYkd, https://drive.google.com/open?id=14nr_iZXpEybF1-OAzwBPxDCeWdgIDIy1, https://drive.google.com/open?id=1UV4FHd2yd5OkAXJ7HksaFXCQR6Dqd2hD, https://drive.google.com/open?id=1blKQ7s9SizC0SKaf1gu-YF96s3667lAz, https://drive.google.com/open?id=1VC7WDGWABdonvS_sppkUJKzNUIFcGP1q</t>
  </si>
  <si>
    <t>Đưa tiền mặt 1600k cho a Nguyên 18/12</t>
  </si>
  <si>
    <t>Hoa Đinh</t>
  </si>
  <si>
    <t>0911959889</t>
  </si>
  <si>
    <t>Truliva ur 16069H</t>
  </si>
  <si>
    <t>https://drive.google.com/open?id=1GuTP1rjl1HHYLE3rbZmnhIJeyky8vZV2</t>
  </si>
  <si>
    <t>Đã hoàn thành ca giao hàng ,lắp đặt ca Chị Hoa Đinh</t>
  </si>
  <si>
    <t>Chị vân</t>
  </si>
  <si>
    <t>0982111989</t>
  </si>
  <si>
    <t>5440 thay cto pgp Ro</t>
  </si>
  <si>
    <t>https://drive.google.com/open?id=179PHMUovlZVHh2A5wdlzhVk-gtMcIOBA, https://drive.google.com/open?id=1PwYKVxwAMHBP2gyz0R2-QA08fpgek9ci</t>
  </si>
  <si>
    <t>Đã ck purevita</t>
  </si>
  <si>
    <t>anh Sang</t>
  </si>
  <si>
    <t>0386353048</t>
  </si>
  <si>
    <t>PGP CTO RO 5840</t>
  </si>
  <si>
    <t>https://drive.google.com/open?id=1Rn4ZdoCPvvBfbUyQnqJ7bwO3yLzDrzt0, https://drive.google.com/open?id=1O380uCMYLyC4ToD713IqG9C2_JaPVO8W, https://drive.google.com/open?id=1BA_n8kTVatPWiWiMPPt-Mr5T-TBwHtX4, https://drive.google.com/open?id=1-brHo1iMRYHbpYXCG8a2XcrnVF8PS1vW, https://drive.google.com/open?id=1xoHioc9Ks-m9dFS46dNDkrqYhx72YEyg</t>
  </si>
  <si>
    <t>60km</t>
  </si>
  <si>
    <t>0909392022</t>
  </si>
  <si>
    <t>https://drive.google.com/open?id=1dPz4SlVDw-OX1eTE1TG75Y81hEjamcTy, https://drive.google.com/open?id=1CJtM6DjYgHxJVd0iH4kFi489UZpZqu5B, https://drive.google.com/open?id=1j_4v_AEaMvj-PSEUEmu-zJujGfPc2VLE, https://drive.google.com/open?id=1lMaw_JR1c_AYCd0gGx2WksKuFmCu_D8J, https://drive.google.com/open?id=1Q-M4b54K_ZqiSiHFSXJLrGXzsDKrhuJi</t>
  </si>
  <si>
    <t>Chi Quyên</t>
  </si>
  <si>
    <t>0974386497</t>
  </si>
  <si>
    <r>
      <rPr/>
      <t xml:space="preserve">https://drive.google.com/open?id=1tjt-oH4odfZRLqN3lxrwcgHGdjMpcWMc, https://drive.google.com/open?id=1ZEvRjkB5h-Nz7oQcpIZ4x_R_hfwTCKsP, https://drive.google.com/open?id=1VHNqePsE4YPRtLw8G-YInp2YRDUInT0A, https://drive.google.com/open?id=1yliiW7zsvocdvvsRtMzTUY_oJkgvUWkK, </t>
    </r>
    <r>
      <rPr>
        <color rgb="FF1155CC"/>
        <u/>
      </rPr>
      <t>https://drive.google.com/open?id=1-v4pvTuOt0y80m2LLcqpNujfZ14SFLRn</t>
    </r>
  </si>
  <si>
    <t>Khách yêu cầu lắp. Bồn chưa dán keo, chưa gắn bộ xả, lẵp xong có nước ra bàn giao, xong  nhà khách xả sau. Đã hướng dẫn khách,. Phát sinh 1 chụp nhựa răng trong 21, không tính. Chi Quyên liên hệ sale ck, ktv đã báo sale Huệ thu tiền</t>
  </si>
  <si>
    <t>Cô Thu</t>
  </si>
  <si>
    <t>Ur 3636</t>
  </si>
  <si>
    <t>https://drive.google.com/open?id=18oX5oqNpZp2gX9ZvS3I1V-6D94Fyn_eD, https://drive.google.com/open?id=1W5vrF8NgaPNB3N6f6qtik1fhpyQ5nf0p, https://drive.google.com/open?id=1Mu9lc-SAHAsfMb7IrzdS--Ptksvj-gNT, https://drive.google.com/open?id=1Fiu4mGDJ5SckoInp2zFQevtETnA8_amT, https://drive.google.com/open?id=15D18EpcQcjw78bSkx9Hzh5UtIJFY5lj3</t>
  </si>
  <si>
    <t>Trệt, khách liên hệ sale ck 2 máy13.8tr, lọc kk cty liên hệ gởi sau</t>
  </si>
  <si>
    <t>https://drive.google.com/open?id=1xDzLshwFiAfWcqUbCEtMhiyDXj5zYw6e, https://drive.google.com/open?id=1S80spy0G_VwfHCl6dxCKXf8F1-_g9HHA, https://drive.google.com/open?id=1cRFhHGedcl5RlVdi-BmMg6tJjlClITff, https://drive.google.com/open?id=1wgImTGz9sfkp6vOY2sAACl9yBqTzjK0I, https://drive.google.com/open?id=1cRi8IxHQ8kNLcLecn4uVYPaHD5tZyVhW</t>
  </si>
  <si>
    <t>Lầu 2. Khách lien hệ sale ck. Lắp 2 máy, cty giao máy</t>
  </si>
  <si>
    <t>Chị huyền</t>
  </si>
  <si>
    <t>0967749865</t>
  </si>
  <si>
    <t>Ur 61096h</t>
  </si>
  <si>
    <t>https://drive.google.com/open?id=1s4g2cp_r7h4ci5qTJ18va7KFBwNHtvcs, https://drive.google.com/open?id=10TBtgjcXSRBgOp2r8ayONdydPMF1dPA0, https://drive.google.com/open?id=1_gMMBK53N9XeG-wOcGKlDQbeuJoLcMCI, https://drive.google.com/open?id=1afbaqS4fP1MJxf2y0LdLwoLIlliUsQ54, https://drive.google.com/open?id=1SMVZfXuJxo1NSe-ayW0NovBZIam45ZQ6</t>
  </si>
  <si>
    <t>Ad</t>
  </si>
  <si>
    <t>A hoàng</t>
  </si>
  <si>
    <t>0354955231</t>
  </si>
  <si>
    <t>https://drive.google.com/open?id=1QZHTtfQhAogD9LYMYV44kj2eRCG_cLPd, https://drive.google.com/open?id=1a1JuI2N5pqiHVCyW1H2Xk_idpC96wTmc</t>
  </si>
  <si>
    <t>Đã ck cty . Khách không trả tiền sip</t>
  </si>
  <si>
    <t>Chị chinh</t>
  </si>
  <si>
    <t>0981551899</t>
  </si>
  <si>
    <r>
      <rPr/>
      <t xml:space="preserve">https://drive.google.com/open?id=1LPgQ4zcLBuHvTQHqpivjqBAXToun0kmQ, </t>
    </r>
    <r>
      <rPr>
        <color rgb="FF1155CC"/>
        <u/>
      </rPr>
      <t>https://drive.google.com/open?id=1ukiOUe2HO45w8RKW5lQntDiDeVFbL6UA</t>
    </r>
  </si>
  <si>
    <t>Đỗ lộc</t>
  </si>
  <si>
    <t>0913426268</t>
  </si>
  <si>
    <t>https://drive.google.com/open?id=1yqyUd8ckyEQzeEv-Ew_SMHPGShiHZvCz</t>
  </si>
  <si>
    <t>Giao hàng vietpos k thu tiền</t>
  </si>
  <si>
    <t>Chú sử</t>
  </si>
  <si>
    <t>0913545442</t>
  </si>
  <si>
    <t>https://drive.google.com/open?id=1E3PMYW6Ub2bwmup_UROLu8Axi72QvGB8, https://drive.google.com/open?id=12hEujsjNKR9mNibTkCOMNGrJhIfSmyK7</t>
  </si>
  <si>
    <t>Đã ck</t>
  </si>
  <si>
    <t xml:space="preserve">Trần Phú Bình </t>
  </si>
  <si>
    <t>0913584290</t>
  </si>
  <si>
    <t>Lõi pgp+CTO delica ur5440</t>
  </si>
  <si>
    <t>https://drive.google.com/open?id=1nTJgDRqOUQcxOp2IvnctgPODDHJSTbxT, https://drive.google.com/open?id=1u1Q1fDy3O7hMBVkng7wdgVDG9OlL_R6K, https://drive.google.com/open?id=1c2KTrA8EsP41IEps7qApBlRUgVB5zp2W, https://drive.google.com/open?id=11ecG1oWh_oSBV743xJqMYL61wpSDRIqd, https://drive.google.com/open?id=1_BRVVnLv17ZR3P7nFICbZ3Dil1tJTT7L</t>
  </si>
  <si>
    <t>7km</t>
  </si>
  <si>
    <t>Anh đạt</t>
  </si>
  <si>
    <t>0989745294</t>
  </si>
  <si>
    <t>https://drive.google.com/open?id=1LIl3L_yC6EVrEzH-ykgNgqIh9JhIDqJZ, https://drive.google.com/open?id=16XB4I1w6E60jFFU3w200GAd1LeFB0QNh, https://drive.google.com/open?id=1NHLhtKbol1PbBuFFlfnrnt9zxd-qCRi1, https://drive.google.com/open?id=1LkTLPY96V4K0EWJnV7T4v1BMjN8UdbLQ, https://drive.google.com/open?id=1RrX9c4oeYVkHv52rnFnuHqMza8_5pxOt</t>
  </si>
  <si>
    <t>Đa ck cty, đảo dây cấp lạnh. Thợ chuyển nhà lắp dây nóng</t>
  </si>
  <si>
    <t>Chị Thư-anh Hảo</t>
  </si>
  <si>
    <t>0947894245-0396501602</t>
  </si>
  <si>
    <t>Ur 3626- dispenser</t>
  </si>
  <si>
    <t>https://drive.google.com/open?id=17109on295nUQltKLs7B-0c6wrPUcyDaC, https://drive.google.com/open?id=1g98qGLE9xpiPWk8-x0wGPqB_psMgX_9K, https://drive.google.com/open?id=1xZYJXFvMe5H6mkKaZ5HdckpVO-2NGtBf, https://drive.google.com/open?id=1Fn7uem9yPVI7YrVcAtr-6PwW1-uW7MF6, https://drive.google.com/open?id=1a--qyDyWCAcGibu8uScWtiAbq4CCjg_N</t>
  </si>
  <si>
    <t>Lắp 3626+diispenser . 10.900k tt trên web. Seri: ZQY6412E660229</t>
  </si>
  <si>
    <t>Chị Dương</t>
  </si>
  <si>
    <t>0918728636</t>
  </si>
  <si>
    <t>https://drive.google.com/open?id=13z6FdUGOyTM1SYFUDr2sUSILBHjpa6MN, https://drive.google.com/open?id=12j0uQiL9D6HYxc0wrGZDw-Ou9S11Pv86, https://drive.google.com/open?id=1aFlWMZ7es4068UsqwCkD8bnFV_coEJ6H, https://drive.google.com/open?id=1oHSlnbsLacYeCtqjTBDwUdsGYE_EIR7C, https://drive.google.com/open?id=1alrMZDoFR5Ul_-i6SK6K-ciFH_v1wj59</t>
  </si>
  <si>
    <t>Khach đa ck 16tr, them 300k, đa giao quà, cty ship máy</t>
  </si>
  <si>
    <t>Chú Quang</t>
  </si>
  <si>
    <t>0908008991</t>
  </si>
  <si>
    <t>https://drive.google.com/open?id=1wDQfaL8DdzG1o_JE_OkNlJFus95DaP-M, https://drive.google.com/open?id=1FhBDcduBuX8l_n-G5qy-xP1D_fw8VpwB</t>
  </si>
  <si>
    <t>Tiền mặt, 1215k</t>
  </si>
  <si>
    <t>Anh Hung</t>
  </si>
  <si>
    <t>0899990154</t>
  </si>
  <si>
    <t>Ur 5640-pgp cto ro</t>
  </si>
  <si>
    <t>https://drive.google.com/open?id=1r9Y6w1bZnZpUC6DMoFWKjITIJDSxop5L, https://drive.google.com/open?id=1r9mXcpYIdQ7XdbXw5Bpn9tPyI1WziR8p, https://drive.google.com/open?id=1w4caPuw7eI6KPusUtQ8Rr7CJRWASRSZ-, https://drive.google.com/open?id=14PMCqLQTdmRfq3YkkWVSY6G-YJYwFGLj, https://drive.google.com/open?id=1gG1iQNbXtIiY5ZrjQOSenNCcER4_XlrH</t>
  </si>
  <si>
    <t>Đã ck cty, 3054k.</t>
  </si>
  <si>
    <t>0908254818</t>
  </si>
  <si>
    <t>https://drive.google.com/open?id=1neQGqjNYOAq2LCj-ooV8y1sXEAngUfLp, https://drive.google.com/open?id=1uU9rrOkKCbT0yVQcaotNgLd6xyTj2B5h, https://drive.google.com/open?id=1b-1yRILfRS2rGSfQIlUW44cET7tFYlsK, https://drive.google.com/open?id=1T8Y5IgiqJ5pB8jnp3MkIDtpYTbsRx0ar, https://drive.google.com/open?id=1VtIFYngiA15CwYGWrI3_PmIwSnsfsX_B</t>
  </si>
  <si>
    <t>Ck cty 3000k.</t>
  </si>
  <si>
    <t>Chị Hạnh</t>
  </si>
  <si>
    <t>0935818623</t>
  </si>
  <si>
    <t>https://drive.google.com/open?id=1khpMAS5-xQn3DfMMSMgkUNtolYjm7Bn1, https://drive.google.com/open?id=1PW5-boo0YzNBx7IVo8D0uEHPVvNuD_XF, https://drive.google.com/open?id=1Nt6lUgA55WkMdiyiVbeReOcZNWQbs5lx, https://drive.google.com/open?id=1_2OSY4AyFSXVW4LfPV0yh9EE11CV-sb2, https://drive.google.com/open?id=134tcRaQ9KeFdy_Et_c6IZP2hHjHOCz4N</t>
  </si>
  <si>
    <t>Khách liên hệ sale ck, không có nhà</t>
  </si>
  <si>
    <t>Chi hải</t>
  </si>
  <si>
    <t>0983883617</t>
  </si>
  <si>
    <t>https://drive.google.com/open?id=1enCQhXwVgrQeaB3IBXGOa1gJyxkFeSi-, https://drive.google.com/open?id=14rjwf-fb6eLtc5PIzOpox8WykTdXSprM, https://drive.google.com/open?id=16vj-GgwDlNecyxzUMvo19o7QHR2sFp2w, https://drive.google.com/open?id=1NfDULndsCb3aURbMt_aQB0U-dKSi38HP, https://drive.google.com/open?id=1hb11nUGy2PnHg0cQTvnPDUQZ2RxFpSul</t>
  </si>
  <si>
    <t>Đã thay lõi lọc</t>
  </si>
  <si>
    <t>Thuỳ Berry</t>
  </si>
  <si>
    <t>0971979993</t>
  </si>
  <si>
    <t>Rò rỉ van cấp nước</t>
  </si>
  <si>
    <r>
      <rPr/>
      <t xml:space="preserve">https://drive.google.com/open?id=1XWKjMOc1FCDKsXo0S30qo64lUgWXhC0N, https://drive.google.com/open?id=1XWbD8ichoPIZNU_TtqaijlNDb5H9tpE6, https://drive.google.com/open?id=1vS8Dy-tuAexPKzTMIx-3ODakTtcYdqlV, https://drive.google.com/open?id=1HraFx8_nI_fEnj_y2nLaruC3zr1TDV0b, </t>
    </r>
    <r>
      <rPr>
        <color rgb="FF1155CC"/>
        <u/>
      </rPr>
      <t>https://drive.google.com/open?id=1ygZlk47KA7WV0gx-zyN1Z8NryNtRl4Vd</t>
    </r>
  </si>
  <si>
    <t xml:space="preserve">Rò rỉ SF đến Gắn vale Giảm áp
</t>
  </si>
  <si>
    <t>A Hoàng</t>
  </si>
  <si>
    <t>0902092368</t>
  </si>
  <si>
    <t>Cto + pgp + Ro 5840</t>
  </si>
  <si>
    <t>https://drive.google.com/open?id=1uFWgeI_LH6jq2KzvJhwMTm4E_2gzjDA1, https://drive.google.com/open?id=1oCsyONdxGRFmL7b0Fx1h7lPouei8hVDL, https://drive.google.com/open?id=1nScN3-kedo_1QPjNmqhUnbJXCy4_7F-_, https://drive.google.com/open?id=1NpBYOIhCwIpIVN5PjVFvVAIWkBdfugOn</t>
  </si>
  <si>
    <t>Ok</t>
  </si>
  <si>
    <t>Thu Hoài</t>
  </si>
  <si>
    <t>0963202613</t>
  </si>
  <si>
    <t>Delica 58</t>
  </si>
  <si>
    <t>https://drive.google.com/open?id=1X5ysBjWC_VVwB1biSQs4vTuperAtXeB3, https://drive.google.com/open?id=1lDwIwAKqRgGYkM0Ef1zWSWkTRCn5BGZp, https://drive.google.com/open?id=1q8wpy1f8lFLe4P9M77tbeccvvUEr4o6H, https://drive.google.com/open?id=1tuMvPZBL2Mj8hJ8wtqO_YJm1waVKO6B6, https://drive.google.com/open?id=1upvtXCHva68LrRJ7r0VTl44qhZKb0rbf</t>
  </si>
  <si>
    <t>Chú dũng</t>
  </si>
  <si>
    <t>0984912912</t>
  </si>
  <si>
    <t>https://drive.google.com/open?id=1CbgEKSizJfKgfECOd7coFgBr-wgstlB4, https://drive.google.com/open?id=1fowdf6D-R9qSu-G-Qp9EvxPR6gosh9ts</t>
  </si>
  <si>
    <t>K đã ck cty purevita</t>
  </si>
  <si>
    <t>Xxxcc</t>
  </si>
  <si>
    <t>Chú Thức</t>
  </si>
  <si>
    <t>098 4786174</t>
  </si>
  <si>
    <t>https://drive.google.com/open?id=1-74fg6mOAf031CrpQO1Tst31Zg1yS8wu, https://drive.google.com/open?id=1PZ7gxQthW4nBWv8YzAJ5cJtBS4MYGwfB</t>
  </si>
  <si>
    <t>Khách đã ck Nguyên</t>
  </si>
  <si>
    <t>Khánh</t>
  </si>
  <si>
    <t>0977953766 nhà số 5 ngách 303/20 đổng viên phù đổng gia lâm hnoi</t>
  </si>
  <si>
    <t>https://drive.google.com/open?id=1yzATuBHinNqKZSRv-XyMRKikW5m7XNc-</t>
  </si>
  <si>
    <t>Đã giao hàng 100k</t>
  </si>
  <si>
    <t>Anh Việt</t>
  </si>
  <si>
    <t>0968762995</t>
  </si>
  <si>
    <t>https://drive.google.com/open?id=1R0_zCdEpLWGNqmC-e8l94PqVC93OT3vu, https://drive.google.com/open?id=1t5RReUV-pN--7zYkCrNwTtIZLJvCOvnf, https://drive.google.com/open?id=1x3_oZOcIK9mzWdtJqFICf9nadj79XvSL, https://drive.google.com/open?id=1MydOwcLvBu6dRYCHkPEjP9iHsBls2XQj, https://drive.google.com/open?id=1xpKb5eNOziEMJmwejdG-SqTAoB_ZMdgC</t>
  </si>
  <si>
    <t>S1-184825082100270-s2-184825082100149-s3-184825082100171-s4-184825082100105-s5-184825082100268. 1 ong điện 25 cứng, 1 chai silicon, 2m dây, 2 jack, nước100k anh Minh bao. Tỗng phát sinh 265k</t>
  </si>
  <si>
    <t>Chị Văn</t>
  </si>
  <si>
    <t>0913621337</t>
  </si>
  <si>
    <t>https://drive.google.com/open?id=1-m4kEOt3d7kTA8eTr6TvkOw2sGkz71oE, https://drive.google.com/open?id=1QZb12rJ-IoIEz5olS7u0rTy61h5RtjbJ, https://drive.google.com/open?id=1SyThHUyeDXCeF2ufs8vOR-oWbIqarM4h, https://drive.google.com/open?id=1_mCcsddGQrNbYhsu42K9ylRidHAYiPLp, https://drive.google.com/open?id=1-Zyfujc2E4FAT8ubEdItk0wsrfGRyam3</t>
  </si>
  <si>
    <t>Khách đã ck rồi</t>
  </si>
  <si>
    <t>https://drive.google.com/open?id=12wRoFGCPl9Qz7Zl1eKRl_MW7BYdUb2lP, https://drive.google.com/open?id=1Odl_i81LA6Kau3DN74-k8B2rWm8ryWmv, https://drive.google.com/open?id=1yh1H8INEY5Bvmx4P8n5fYDpEVhBWNVUl, https://drive.google.com/open?id=1aEmwaxUxLihl519xREKemYX2jNIpt-QM, https://drive.google.com/open?id=1LwP2BD3qHe8OWSR_NpVDYFLoQfW8NfIx</t>
  </si>
  <si>
    <t>Khách liên hệ sale ck 12.8tr, k phát sinh. Giao 2 lock lock</t>
  </si>
  <si>
    <t>Chị Quỳnh</t>
  </si>
  <si>
    <t>0982165405</t>
  </si>
  <si>
    <t>Ur 61095H</t>
  </si>
  <si>
    <t>https://drive.google.com/open?id=1UWIFK3xFPytlRp7CTK8n8CXE72NZtKOt, https://drive.google.com/open?id=1GWvTJoeNZuyu6m0A0Dg4PueizdHCVaVe, https://drive.google.com/open?id=1szV_UNvvqr9MS9WYh86ibH6ZHOaR8xrB, https://drive.google.com/open?id=11eWlU1vnGvKKaO-_PLHkHWMZxe3vxDsn, https://drive.google.com/open?id=1pp41bjDPuH_gfD1RHKQIvq1tda5flIhO</t>
  </si>
  <si>
    <t>Khách liên hệ sale ck 16,6tr, lọc pcb giao sau, kho sót, đã báo khách</t>
  </si>
  <si>
    <t>Cô phượng</t>
  </si>
  <si>
    <t>https://drive.google.com/open?id=16BMlSVccBPwGA4cqool0yoy1JQ2cFyUp, https://drive.google.com/open?id=1c4DR0Ob9Ty20vhwFkI_dlRbJaAB8lZTk, https://drive.google.com/open?id=1OFJ9_zSrnsD-NWt_uetj7e4YLBE78E2v, https://drive.google.com/open?id=1MPFvrQXn6LPw_rFXPyixcIaCN2YLOWfe, https://drive.google.com/open?id=1ukFmXB1Z0vYjcuztI8u4LKVYj6odgnVW</t>
  </si>
  <si>
    <t>Thay vòi mới, mang về cty</t>
  </si>
  <si>
    <t>Anh minh-chị duyên</t>
  </si>
  <si>
    <t>0902600894-0904553695</t>
  </si>
  <si>
    <t>https://drive.google.com/open?id=16abSus5yPNj641_F7KA6NEp0GT9LnpFk, https://drive.google.com/open?id=1__b13dq3_blDNKhipKlz_lCKXAaR9102, https://drive.google.com/open?id=1k7R0IUuZgcKNiON1pfUnbBjkHw2JI2f4, https://drive.google.com/open?id=1joL7h5_NyOUkQNyX9I4EsGm6Ls6LI6Hp, https://drive.google.com/open?id=1f5HGClEaMf9pWctLxT9Z9DBGUq50cLwb</t>
  </si>
  <si>
    <t>Khách tối đã ck sale 1405k</t>
  </si>
  <si>
    <t>https://drive.google.com/open?id=1pLGjXfJ_meRWXVYReO9-H1ncXRVOPfN9, https://drive.google.com/open?id=1q_fB79BpwjPb9CUzKWVXZ7sXWx_VvoDE, https://drive.google.com/open?id=1_sqgp5LEzZd7BEedsBeKHTf-Qhv_LIr5, https://drive.google.com/open?id=1sQEYLZ8Wd5gk8Xdkay-69kUVGzJnfbm5, https://drive.google.com/open?id=1HZ3JG55s-FccDm7LdL-I7anetXAgwZVO</t>
  </si>
  <si>
    <t>Khach ck 1790k cty, thiu 2k. Phieu thu 1792k</t>
  </si>
  <si>
    <t>Chị Hanna Nguyễn</t>
  </si>
  <si>
    <t>0904175227</t>
  </si>
  <si>
    <t>https://drive.google.com/open?id=18S7dubwREYmQcZtZBTNkiF1XqejHAqDi, https://drive.google.com/open?id=1K0R338eG0Zte_NspVqJBONGQo_09ivBf, https://drive.google.com/open?id=11dVBzIjzbvbnR0KI2KCXjeD08yfI3c7e, https://drive.google.com/open?id=1VJQJUBmMneTGBZp6uLqL5L8sp-etu-na, https://drive.google.com/open?id=1kgR6JZJpG12MTLw2kqmzmVu8noimLvIg</t>
  </si>
  <si>
    <t xml:space="preserve">Khach đa ck 3054k. </t>
  </si>
  <si>
    <t xml:space="preserve">Chị Uyên </t>
  </si>
  <si>
    <t>0937390399</t>
  </si>
  <si>
    <t>Tây Ninh</t>
  </si>
  <si>
    <t>Ur61096H</t>
  </si>
  <si>
    <t>https://drive.google.com/open?id=1kqyzDW6w1_aFMc9wP8Q0ndmLG029piJU, https://drive.google.com/open?id=1cO_Dolu_cjTErtRLHiel5Y9IBQuZiJA6, https://drive.google.com/open?id=1Z0WMnDgXXVGhZrgYe7_UWCW-KEFy28XU, https://drive.google.com/open?id=1Wzh90FH580GvZzAKxq4RJ7UbTBemEsCn, https://drive.google.com/open?id=1HFvzMMl4daLIo1Csq0R6rIVF3o9ucQ0G</t>
  </si>
  <si>
    <t>104km</t>
  </si>
  <si>
    <t>anh Dũng</t>
  </si>
  <si>
    <t>0368689999</t>
  </si>
  <si>
    <t>Truliva 5840</t>
  </si>
  <si>
    <t>https://drive.google.com/open?id=1hSZQKoAPw7_zBWjiYt-P9lWBFLIKULui, https://drive.google.com/open?id=1zI-0oshIB0G3tUJcIQvb4oUnPX-kbbz9, https://drive.google.com/open?id=1EuCvq7XGjWfK4qreudLHW1VMZ5OPDl9Z, https://drive.google.com/open?id=1ZXDGd5LYGq86REGcyxEw3g5S5uov55of</t>
  </si>
  <si>
    <t>tiền mặt</t>
  </si>
  <si>
    <t>Trương Hoài Thanh</t>
  </si>
  <si>
    <t>0908008525</t>
  </si>
  <si>
    <t>https://drive.google.com/open?id=1et7U09zqX1hy96VO948PcPLq4dPhr6W1, https://drive.google.com/open?id=179qtM78OAXjVNNFFfwzoz0tmbjx9an7w, https://drive.google.com/open?id=1dakt73mCnYNevdrQvfjj0N0Zw2ZO5Kir, https://drive.google.com/open?id=1HJrAoBI2HkP07Kr1pxtotxAtGULLPi6m, https://drive.google.com/open?id=1DbsDIBjbR_MpCzmJrw0AIWp7cUDgrIJB</t>
  </si>
  <si>
    <t>0366586096</t>
  </si>
  <si>
    <t>https://drive.google.com/open?id=1wDqjS-xENp8TmBB0Z-QBEg0rFQNFJucU, https://drive.google.com/open?id=1w8-WRhXphnqTL3G8-9uwvTJFp7kg-R9z</t>
  </si>
  <si>
    <t>K ck Nguyên</t>
  </si>
  <si>
    <t>0912448866</t>
  </si>
  <si>
    <t>https://drive.google.com/open?id=1xztx7xy4sNmKZSDKVvCEU0H4_XcLwXSE, https://drive.google.com/open?id=1ugdOQ2QeX5o0FRpaZYN8_o08CAzJQApB</t>
  </si>
  <si>
    <t>0933026868</t>
  </si>
  <si>
    <t>https://drive.google.com/open?id=1FRdegg66zBk0qrx4-oWq8WbMBKEkpTcC, https://drive.google.com/open?id=1607OgfQ78n0Pqi_mNWcy3tyl8MvoqgGR</t>
  </si>
  <si>
    <t>Khách ck Nguyên</t>
  </si>
  <si>
    <t xml:space="preserve"> Lê Thị Hạnh</t>
  </si>
  <si>
    <t>0969205010</t>
  </si>
  <si>
    <t>PGP CTO 5840</t>
  </si>
  <si>
    <t>https://drive.google.com/open?id=1EnKXaUToy6x3gOX-pZabEHzO3bHILj-x, https://drive.google.com/open?id=1jNhUcfmxHBIQR9DlgMycabXRJPiLvMWR, https://drive.google.com/open?id=1J4ma3D8n1QTjxbWIHoP9cqAMmFwqCoSC, https://drive.google.com/open?id=126ltkpEmwDOAikGiD43XmQFjIlT1oeah, https://drive.google.com/open?id=1oot-LoW8CLpOCWWAh4yXxItvQTL2DXBc</t>
  </si>
  <si>
    <t>35KM</t>
  </si>
  <si>
    <t>chị phương Thảo</t>
  </si>
  <si>
    <t>0902323014</t>
  </si>
  <si>
    <t>PGP CTO 54</t>
  </si>
  <si>
    <t>https://drive.google.com/open?id=19rDapsxSCmUytgPpd7g3cpPvZeNZ99iN, https://drive.google.com/open?id=1YBr_URpptmSYwC8PeYBTEHvYM_fr5_1t, https://drive.google.com/open?id=1wTjKvAt4VnjFWxWrnNUuifvXy_mNHGv5, https://drive.google.com/open?id=1tiTrVOKZhhdE1UzScoHU-xPzJD_PXPTN</t>
  </si>
  <si>
    <t>Thay lọc 2 máy</t>
  </si>
  <si>
    <t>Sang Sang 1700</t>
  </si>
  <si>
    <t>0383516388</t>
  </si>
  <si>
    <t>https://drive.google.com/open?id=12vUnGx4ECAjIZOPQ2G5BbnyB8FVIbk-P</t>
  </si>
  <si>
    <t xml:space="preserve">Đã hoàn thành ca giao + lắp đặt Truliva 5767( ca anh Sang Sang)
</t>
  </si>
  <si>
    <t>Chi ngân</t>
  </si>
  <si>
    <t>0905290529</t>
  </si>
  <si>
    <t>https://drive.google.com/open?id=1TRCPGNnr_u0Qp7tA1sSHaTqwq0WzSARu, https://drive.google.com/open?id=1gjtPktrSZWhAJhO0-Vu6CXuS9iNw96ag, https://drive.google.com/open?id=1nJGQ8LYE49-Ra-5x3y658p2AyZ2Jwz7a, https://drive.google.com/open?id=1lWwe9QYPAVnT-lFaTG41imLzVsuMBIki, https://drive.google.com/open?id=1XYuDzusy_Twk1J5WNdh6H_mSAcoHOkhF</t>
  </si>
  <si>
    <t>Đã ck cty, quên dán qr.</t>
  </si>
  <si>
    <t>Quang Thắng</t>
  </si>
  <si>
    <t>0966109666</t>
  </si>
  <si>
    <t>https://drive.google.com/open?id=10FatoXid1WNcqzDDCR-j043Yi_I8leCS, https://drive.google.com/open?id=1IqUR9r1ns2BR6tnMFYiIh0O7JvVywbO4, https://drive.google.com/open?id=15ZZBlEmvnsUjimaUtEoW6Hrr04AUqVyO, https://drive.google.com/open?id=10ketZHpdoHSeWMh9vBZJLS8OoP2uFyMJ, https://drive.google.com/open?id=1RrLUyCcdnHvPeoxJiz-vDw8wIDLa12Ou</t>
  </si>
  <si>
    <t xml:space="preserve">Châu Nguyễn thảo nguyên </t>
  </si>
  <si>
    <t>0917227337</t>
  </si>
  <si>
    <t>Ur61096</t>
  </si>
  <si>
    <t>https://drive.google.com/open?id=1yfxoEwU2XAQ10K6cQv9hKOp9qrRV1svR, https://drive.google.com/open?id=19khLILsASxh2PU2n1RVVZgv0BycY5kao</t>
  </si>
  <si>
    <t>Đi 25km</t>
  </si>
  <si>
    <t>https://drive.google.com/open?id=1OCaLE5B1x5s19g_vlhTzEWAeQuEW603_, https://drive.google.com/open?id=1OwReuenX9DGaAf2bA9-C160VUgegGprW, https://drive.google.com/open?id=1jluxmGMCSf_qzUZXjinQOuFV4Gn7thBZ, https://drive.google.com/open?id=1dS2MS8e4g1ZzlbkT2ukEmTLdowhPQRH7, https://drive.google.com/open?id=1IF1z8k8H9Ja5SDz2PgdnURSZ6a26izA8</t>
  </si>
  <si>
    <t>Đi lại nhiều lần, máy hư,50km</t>
  </si>
  <si>
    <t>Chú Chính</t>
  </si>
  <si>
    <t>0907628394</t>
  </si>
  <si>
    <t>https://drive.google.com/open?id=18w-fWNTSTF4Jxfi9MxcnbupDfjTwYCJy, https://drive.google.com/open?id=1_2_Udts9vO3oyLUIsexZ-Ckas9xUYyiB, https://drive.google.com/open?id=1FBYvLNsBLOY3PyAyeUvrYE4BQIkNWNii, https://drive.google.com/open?id=1-VttY1hKAzczP0fjJu2iYwIZfV3lDfG3, https://drive.google.com/open?id=1IdAoWeumnuZ6r54-dgPS3znnkckwaLtE</t>
  </si>
  <si>
    <t>Thu tien mặt 3462, giảm 15% cho khách, lấy % ktv bù qua cho khách. Đã báo anh Nguyên. Hoàn cảnh khách khó khăn</t>
  </si>
  <si>
    <t>Chị Trinh</t>
  </si>
  <si>
    <t>0975148183</t>
  </si>
  <si>
    <t>https://drive.google.com/open?id=1xilmiFGkpbzXod-GvMyqc5JdPNufN5II, https://drive.google.com/open?id=1oXw9SXBmTJTuiW-UTsvpii-Rd4DzrjJY</t>
  </si>
  <si>
    <t>Đã ck pure vita</t>
  </si>
  <si>
    <t>Chị uyên</t>
  </si>
  <si>
    <t>Ro 5440</t>
  </si>
  <si>
    <t>https://drive.google.com/open?id=10FA0dAsk7mS194PAzR5S9QVqP4unE1iw, https://drive.google.com/open?id=1_N5TqPJ68FSM9N7aYHoSBX8NgxZxOG5T</t>
  </si>
  <si>
    <t>A tiến</t>
  </si>
  <si>
    <t>Ro cto pgp 5840</t>
  </si>
  <si>
    <t>https://drive.google.com/open?id=1k3bAZVFO1yWSgzLVineISX3NMYC8JBOo, https://drive.google.com/open?id=1VHo3k1GUZDODB58J_drfVz-Fv2WxTXnq</t>
  </si>
  <si>
    <t>0967621688</t>
  </si>
  <si>
    <t>Cto pgp 5840</t>
  </si>
  <si>
    <t>https://drive.google.com/open?id=1QVLx0G9vGFSrHd2sryIV4ed0o9kvhAXU, https://drive.google.com/open?id=11T8tFilkJZ0aryZb0McmGeySLg5oTnAZ</t>
  </si>
  <si>
    <t>Chị phương</t>
  </si>
  <si>
    <t>0975804986</t>
  </si>
  <si>
    <t>https://drive.google.com/open?id=1BFd5FNb90UUyoUJ7MkRDhAAoCfu_Utz6, https://drive.google.com/open?id=1CA0t2xMgs3QGEB_shn4CK1awitptdAVw</t>
  </si>
  <si>
    <t>Cty hưng thịnh</t>
  </si>
  <si>
    <t>0988776827</t>
  </si>
  <si>
    <t>https://drive.google.com/open?id=1bdScT8dVMpdChSzgdVZi9XZdmXPWgPdD, https://drive.google.com/open?id=1CTI-nZv3u-MwlRqht8Uhte8GdTpbqTKK</t>
  </si>
  <si>
    <t>Giao hàng thu tiền đã ck về cty . 27km</t>
  </si>
  <si>
    <t>Anh Phúc</t>
  </si>
  <si>
    <t>0984578945</t>
  </si>
  <si>
    <t>https://drive.google.com/open?id=1evN-WWXpXXYXnQvY_H8_utZM0LGAsvW0, https://drive.google.com/open?id=1-i70GQTf6OR20UyFXDcqD8yv2j2NWc42, https://drive.google.com/open?id=1yillGbUTXzus3a--i5eRF-wlNbJZyhna, https://drive.google.com/open?id=1ahpmK1YZ3f2ueyoTeRzNSfQPSEYWRDUb, https://drive.google.com/open?id=1kBiSxM6pz_pjxIhbqKtveooMgfWc42nA</t>
  </si>
  <si>
    <t>Ck</t>
  </si>
  <si>
    <t>https://drive.google.com/open?id=13F_5NbdNmc726347u_GxsF2__RcjdFQT, https://drive.google.com/open?id=1mGZyQWQFcWHOE6F3W8GgXtOJKpYsZzOh, https://drive.google.com/open?id=1gY7Pg4pyqqkgo726wTomM847YJocuK-b, https://drive.google.com/open?id=1tDZRrgd7WCS0rZyHtDupeiSRxEv7w34w, https://drive.google.com/open?id=1Bxtpdmz3RDlVYrE-_JCLUVZITvROwUIz</t>
  </si>
  <si>
    <t>Lê Thu Thuỷ</t>
  </si>
  <si>
    <t>0935556062</t>
  </si>
  <si>
    <t>https://drive.google.com/open?id=1L0RIRnbTggq8_La0KclJD7l3DNLMOfl0, https://drive.google.com/open?id=1w6M6o2lLXhWHOYNAPjPJEnjXWinkv8Jh, https://drive.google.com/open?id=12VcYCG6Ead7lIGTbVXFVfcymR697v1BN, https://drive.google.com/open?id=1fNBPsASKJsi-LpSiDG_X-kAeCcL6bm8Q, https://drive.google.com/open?id=12lTimhDCOVwD_2vEiVct7KCPqR676BRh</t>
  </si>
  <si>
    <t>Ca này KTV đi 2 lần một lần khảo sát một lần giao lắp</t>
  </si>
  <si>
    <t>Chị hạnh-chị mai</t>
  </si>
  <si>
    <t>https://drive.google.com/open?id=1i1eXftZ_oyY1iY7UAFR6cms5Md9I7FFK, https://drive.google.com/open?id=1N4ajl_O8q9iE_SgVTGFNKfnodRG7S1sp, https://drive.google.com/open?id=1ys880XmHXNpI3VO9zKi-ri2FsIcXsALd, https://drive.google.com/open?id=1YXmR7koZJ-jHcQ8kW_YtNcc8cApdaeBC, https://drive.google.com/open?id=1IvvuuYMPRCZzMs_plrLkQlWBUJnxfoi5</t>
  </si>
  <si>
    <t>Khách đã ck sale.</t>
  </si>
  <si>
    <t>Anh Trung</t>
  </si>
  <si>
    <t>0944123441</t>
  </si>
  <si>
    <t>https://drive.google.com/open?id=1MCjnPV64B1aSUTHqG6HWCR8iFwLczC3H, https://drive.google.com/open?id=17SlNgCkfLWynQLFbqhD-0a2DBcQBBuaH, https://drive.google.com/open?id=11cFj8qWhJfroF83SjJGU8CgMb73FDvwY, https://drive.google.com/open?id=1TiE-ZPye5b2RJTCzwOz9gH_7l4oJSzrS, https://drive.google.com/open?id=1wQXxo8I6Tj7HrnvZ_db6WVoLmEoo52uZ</t>
  </si>
  <si>
    <t>Đã ck cty 13.490k</t>
  </si>
  <si>
    <t>Chị Minh Diệp</t>
  </si>
  <si>
    <t>0975753214</t>
  </si>
  <si>
    <t>Delica UR 5440</t>
  </si>
  <si>
    <r>
      <rPr/>
      <t xml:space="preserve">https://drive.google.com/open?id=1mbfogRacUDCCuJ4CgxHRvIkhnfRlCNPQ, </t>
    </r>
    <r>
      <rPr>
        <color rgb="FF1155CC"/>
        <u/>
      </rPr>
      <t>https://drive.google.com/open?id=11cYdLgNbwfchjohardw4MI_xJJt4SZsc</t>
    </r>
  </si>
  <si>
    <t>Thay PGP CTO RO 5440</t>
  </si>
  <si>
    <t>Anh Ngọc</t>
  </si>
  <si>
    <t>0977705966</t>
  </si>
  <si>
    <r>
      <rPr/>
      <t xml:space="preserve">https://drive.google.com/open?id=123ieG6V5rkEsDHss4ADxO49Pk2vepV94, https://drive.google.com/open?id=1jbKWmzDV1n7eP4C-f0eMrL_HATuAMmNw, https://drive.google.com/open?id=1p_auWQIycz5U7gDrHRB2Hx3As0_xS_Ps, https://drive.google.com/open?id=1wJJ0JbRYb38Lwma-XOYN0r4rZVKCJe5p, </t>
    </r>
    <r>
      <rPr>
        <color rgb="FF1155CC"/>
        <u/>
      </rPr>
      <t>https://drive.google.com/open?id=1zBN62b8Jfvrgz1YU0AIZIk1Etly3lEnK</t>
    </r>
  </si>
  <si>
    <t>Giao lắp máy mới 30km</t>
  </si>
  <si>
    <t>Đào mộng long</t>
  </si>
  <si>
    <t>0913552958</t>
  </si>
  <si>
    <t>https://drive.google.com/open?id=1_GZWi-W93lhQv6mE9cR5uYm2hgqg9D1F, https://drive.google.com/open?id=1t1PJU0LbqzLEwn5_mM9smwddZcy6GHvQ</t>
  </si>
  <si>
    <t>A hiếu</t>
  </si>
  <si>
    <t>0936362317</t>
  </si>
  <si>
    <t>https://drive.google.com/open?id=1Y99IjfagY5Kybgx2ifoaEANJQqAUo7T7, https://drive.google.com/open?id=11dHS3iYTs77zNj9nI74p6vAbOwVj0FUL</t>
  </si>
  <si>
    <t>Kim Hồng</t>
  </si>
  <si>
    <t>0933898872</t>
  </si>
  <si>
    <t>https://drive.google.com/open?id=1D3sN0jrN6JmLKpgMQWUvAOPExidA3VnQ, https://drive.google.com/open?id=1NvVbJduexxM813Z0IUBIxHGiEPtH1DqM, https://drive.google.com/open?id=1ysMGrI_vvfTEXdk9GqRaMxX5lGJx7f8K, https://drive.google.com/open?id=1k3AjQAZpowaf7sF_X9KhZmvuDaUjUeRZ, https://drive.google.com/open?id=1XT3htQhJQYxLAImv-3DWySayJ1QmZ-uP</t>
  </si>
  <si>
    <t>chủ nhật</t>
  </si>
  <si>
    <t>Chị Dung</t>
  </si>
  <si>
    <t>0909578357</t>
  </si>
  <si>
    <r>
      <rPr/>
      <t xml:space="preserve">https://drive.google.com/open?id=1fyd7I53kXLV6sP-UFWEOCzj0JPv0Hz5A, https://drive.google.com/open?id=1allrGMj5cke5Ki-hbRw0AG_VDdg6awIg, </t>
    </r>
    <r>
      <rPr>
        <color rgb="FF1155CC"/>
        <u/>
      </rPr>
      <t>https://drive.google.com/open?id=1_6_vDYUqZn5h_O9LpEX-0qjediKZ-sFX</t>
    </r>
    <r>
      <rPr/>
      <t xml:space="preserve">, https://drive.google.com/open?id=1k9Mj1Ql1rX_W_zjHRtheBBrKZim6KGAF, </t>
    </r>
    <r>
      <rPr>
        <color rgb="FF1155CC"/>
        <u/>
      </rPr>
      <t>https://drive.google.com/open?id=1bqFtFpTrUaYj5P8t5G8dhUcVBA8PX4-n</t>
    </r>
  </si>
  <si>
    <t>Đa ck cty</t>
  </si>
  <si>
    <t>Cherry Le</t>
  </si>
  <si>
    <t>0908992099</t>
  </si>
  <si>
    <t>139822102000166 ur 5840</t>
  </si>
  <si>
    <t>https://drive.google.com/open?id=1bJp69GTl2X_QyZzZIc-sXly01CDOxcUR, https://drive.google.com/open?id=1m0XXtFNF1_30QHpnUax1dSpIvk2ga6p5, https://drive.google.com/open?id=1rgvxULrbl6PLA5YAa7KarMMVNUsVzZxR, https://drive.google.com/open?id=1zUbLpu1eBrwtdBYH7z7PoKegSZgYTYf7, https://drive.google.com/open?id=1kLUtphmK_gdpTceR-kwE7lexE5TZOb_B</t>
  </si>
  <si>
    <t>Đa ck cty. Ktv ban loc. Thay thu 3655k</t>
  </si>
  <si>
    <t>Chị Bình</t>
  </si>
  <si>
    <t>0989361166</t>
  </si>
  <si>
    <t>https://drive.google.com/open?id=1rwivb1BXno9Q9GtvUuTbFMpk2XSVGMzy, https://drive.google.com/open?id=1r-uviiZqe8TqJXF6sQINkeQOUStUtvWP, https://drive.google.com/open?id=1kdz3O9tT1fenMxhaZw9lCE0t1DGv3wN9, https://drive.google.com/open?id=14_wOSarL4XECbz6JyS4r3STRt_umIIYI, https://drive.google.com/open?id=16jgL1_hUI2s_95uXR1hVhnW5tofNBGyJ</t>
  </si>
  <si>
    <t>Lắp đặt máy mới</t>
  </si>
  <si>
    <t>Võ Mạnh Long</t>
  </si>
  <si>
    <t xml:space="preserve">A Triều KTV </t>
  </si>
  <si>
    <t xml:space="preserve">lõi lọc </t>
  </si>
  <si>
    <t>https://drive.google.com/open?id=13FMZT8dWCjf4xzkUCEY8HPRaDb1jl0LD</t>
  </si>
  <si>
    <t xml:space="preserve">GIAO HÀNG TỚI ĐỊA CHỈ 104/21 thành thái q10 - Giao hàng cho a Triều Ktv 
Giao Tổng 24 Lõi lọc </t>
  </si>
  <si>
    <t>xxxx</t>
  </si>
  <si>
    <t xml:space="preserve">bến xe hoa mai </t>
  </si>
  <si>
    <t>0932021977</t>
  </si>
  <si>
    <t>xxx</t>
  </si>
  <si>
    <t>https://drive.google.com/open?id=1tTTU_yiuGvjSPFkpxDMTVG3TIm3M23OV</t>
  </si>
  <si>
    <t xml:space="preserve">Giao Hàng ra bến xe hoa mai Q1 </t>
  </si>
  <si>
    <t>Chi Oanh</t>
  </si>
  <si>
    <t>0906620927</t>
  </si>
  <si>
    <t>https://drive.google.com/open?id=10WSm8vSYMsWEzARb6USEreeNeyQzywj-, https://drive.google.com/open?id=10LaeWSzhbHKFmWlpOPdlOCOcD7l7BGVu, https://drive.google.com/open?id=11xEr7f5Xac1SFaGGL44UKiz4lDrdmtNa, https://drive.google.com/open?id=1EBsMOkjSg5kc0XwIogWDfaK3JabmlHU1, https://drive.google.com/open?id=1Jf6PzB7DVVAnDNqpZTuuisP_bMN9MLZ2</t>
  </si>
  <si>
    <t>Ck nguyên roi!</t>
  </si>
  <si>
    <t>0986020243</t>
  </si>
  <si>
    <t>https://drive.google.com/open?id=1A0ULXAddiJ_DIio2j3mRCCaa9wPjtjWY, https://drive.google.com/open?id=1YhnSxA_e_qHkEOeDkr3pT3U9CTuXj-wd, https://drive.google.com/open?id=1lOaU_K3iINjTFKZEbo4GJGaGhuc_lb-A, https://drive.google.com/open?id=1vT31-ItnKyVqKmW7T6EXbmCodSdZEpx9, https://drive.google.com/open?id=1htsuMcEepElaOGtzwvEIMH-W7_HLmgdR</t>
  </si>
  <si>
    <t>Đa ck a Nguyên.</t>
  </si>
  <si>
    <t>Chị Thảo Quyên</t>
  </si>
  <si>
    <t>0908235298</t>
  </si>
  <si>
    <t>https://drive.google.com/open?id=1BhrA3ETXVcQSTw5IFLq_hAoGLxq1Utsa, https://drive.google.com/open?id=1jFFxVmnDAxbWaZEB3CqDiP8T2pQdCOvD, https://drive.google.com/open?id=1XG5viQwoF_Ddj7g7ZVpR4wrlJPFz14H9, https://drive.google.com/open?id=1vgOAhT-mfaiK_SBNcCvbxfG3tSODSnQV, https://drive.google.com/open?id=1jPIoge46ICF73oi5-ErWId2nkvcj-yYS</t>
  </si>
  <si>
    <t>Đã dán qr, đa ck cty 3055k</t>
  </si>
  <si>
    <t>Thượng Thảo Thiên</t>
  </si>
  <si>
    <t>0908412912</t>
  </si>
  <si>
    <t>https://drive.google.com/open?id=1vE92H0mRm8AOgGkccaxilYJpnXN-agoA, https://drive.google.com/open?id=1sX9bRmw-zwYtGwR8dn14o4PWR-HzwdmK, https://drive.google.com/open?id=1bqu4gbzVo--8PUxIRgojFGOsiPaPSBSU, https://drive.google.com/open?id=1s38Sajxvu6Xr0NT5KU1an_JNtePJ5jbp, https://drive.google.com/open?id=1Bzum1_C8rQXr_xA6qhWFEzEjMJzmgC96</t>
  </si>
  <si>
    <t>Thay lọc PGP CTO</t>
  </si>
  <si>
    <t>Chị Hà Thị Tươi</t>
  </si>
  <si>
    <t>0349603688</t>
  </si>
  <si>
    <t>https://drive.google.com/open?id=18z8WA1ANp1MTAUGLS-dgPcPkK8NCJZy0, https://drive.google.com/open?id=1gR9z_wSaZ5wvTD-oMoAlKg0qIhUQ5gh3, https://drive.google.com/open?id=1t9UVc8yuwD-WH5hCnBpSzMmJY_dCKzyv, https://drive.google.com/open?id=1LQGp6xaFjvKrBYrJty91DAV4zPT-ntVU, https://drive.google.com/open?id=1CgYJEcAaXKF0VSXb3spby3EJMiSMUC4L</t>
  </si>
  <si>
    <t>Thay PGP CTO 5840</t>
  </si>
  <si>
    <t xml:space="preserve">Anh bảo </t>
  </si>
  <si>
    <t>0937308108</t>
  </si>
  <si>
    <t>Máy Nóng</t>
  </si>
  <si>
    <t>https://drive.google.com/open?id=1842HW6gbMlxvXmZAjN-C6uNNEhfO9xOF</t>
  </si>
  <si>
    <t xml:space="preserve">Đi giao máy nóng cho A KTV Triều </t>
  </si>
  <si>
    <t>Quế Trân</t>
  </si>
  <si>
    <t>0362433771</t>
  </si>
  <si>
    <t xml:space="preserve">Lõi lọc </t>
  </si>
  <si>
    <t>https://drive.google.com/open?id=17HTRh1qbe2sbAdWvhZypxEjStccQ1fgJ, https://drive.google.com/open?id=1X7ysPIxn7J7GP6FfDwPe7hicbkfEw7jV</t>
  </si>
  <si>
    <t>Giao Hàng Ra Chành xe phương trang 
798 Đường Xa lộ hà nội - Thủ Đức Thành Phố Hồ Chí Minh</t>
  </si>
  <si>
    <t>Xxx</t>
  </si>
  <si>
    <t>Anh Hiệp</t>
  </si>
  <si>
    <t>0916728076</t>
  </si>
  <si>
    <t>https://drive.google.com/open?id=10mZJSD7rslyKJ1YqZS3kZvj9uEfF5mCs, https://drive.google.com/open?id=1XF3WR4THkyPWs0ir5omUoQhByRRrSBeH, https://drive.google.com/open?id=1Z-0FHJQwch4z4MJvS_ct0kEcoNATMoUL, https://drive.google.com/open?id=1nrNAEyhuSr8gl4_vz-IFG1ShU6O5at6R, https://drive.google.com/open?id=1WrPX9a7h5Cpw8uR87nMtCENs-CBztU-0</t>
  </si>
  <si>
    <t>Thay pgp-cto 5440. Khách ck 1243k</t>
  </si>
  <si>
    <t>Chị Mỹ Uyên</t>
  </si>
  <si>
    <t>0784389559</t>
  </si>
  <si>
    <t>Pgp-cto 5840</t>
  </si>
  <si>
    <t>https://drive.google.com/open?id=1Nm1l3cJ4czcMij9QpE0J046BdCRD-SM8, https://drive.google.com/open?id=14_c6q98_WoIwGwLYF7b85qXEfCj1tcBO, https://drive.google.com/open?id=1a7ssMXfa1xgBfQMhMBjcbC4KCPI2I-WK, https://drive.google.com/open?id=14hOi2yAL8wqTKabQSsDRZmmUbrEJPvp8, https://drive.google.com/open?id=1uGvEkZs2AtShfCXmn3n2jvDUWVyUKVWH</t>
  </si>
  <si>
    <t>Thay pgp cto 5840. Ck cty 1405k</t>
  </si>
  <si>
    <t>Long</t>
  </si>
  <si>
    <t>0976628633</t>
  </si>
  <si>
    <t>https://drive.google.com/open?id=1iM5JPHFpgTYt7VRblPQv7SFltLJ_odEM, https://drive.google.com/open?id=1mtp9vz99fUwu-auGxQ_m4UyN3T7cRhaT, https://drive.google.com/open?id=1zmVoUAuQ5fjzeIyBCpMa8d14g-hShGnS, https://drive.google.com/open?id=1qv2iaILZ8ZjHrWc4VbB8i5SAXRs_Idgf, https://drive.google.com/open?id=1qmOhyzX4MwDp9wL7AlqmhdSldBQsIIRl</t>
  </si>
  <si>
    <t>Cty Hưng Thịnh</t>
  </si>
  <si>
    <t>https://drive.google.com/open?id=1bZZnfFkd8-BDi-rU9jy0vvf5806Pd_Qi</t>
  </si>
  <si>
    <t>Đã giao hàng thu tiền 1 máy 8505.000 còn 2 máy khách ck cty purevita</t>
  </si>
  <si>
    <t>Anh Bòng</t>
  </si>
  <si>
    <t>0934144609</t>
  </si>
  <si>
    <t>https://drive.google.com/open?id=1alUK11qmdeqaB-LrU4O7qUXJNYkN-nPZ, https://drive.google.com/open?id=1_LkYRIWlz3VjLhUE1Vd5DLlgIAHy1BQ_, https://drive.google.com/open?id=19zhjdh2xVXHWkVBfPuPPEBljYD6q8rmj, https://drive.google.com/open?id=1eIq5_LoqFpbYDLNk1GJYeQsVbQNZ5qs_, https://drive.google.com/open?id=1MubHIPmu5j0VHjLiYzSN1lh2IXuz6W9J</t>
  </si>
  <si>
    <t>Khách đã ck cty, 14km đi và về đã trừ 40km</t>
  </si>
  <si>
    <t>https://drive.google.com/open?id=1jIJqXMEVrgsc-uT6bAGmgwVpVCdQxO5R, https://drive.google.com/open?id=1twmHsn-w1QCTERS1BuCCTJxiljGBAAsR, https://drive.google.com/open?id=18LSOjgNYA4zSQIJdXVMCy7tzD_iGx5a2, https://drive.google.com/open?id=12RWsYYNA40BVrLPjeN-pgOgSPlXTCaex, https://drive.google.com/open?id=1Y13qAkbEwQDv-0So2i9_XgsV70OvacLf</t>
  </si>
  <si>
    <t>Khách đã ck cty</t>
  </si>
  <si>
    <t xml:space="preserve">A tien </t>
  </si>
  <si>
    <t>0946799468</t>
  </si>
  <si>
    <t>https://drive.google.com/open?id=1Ycaw67Vtv2l9obg56TYmjdeMMuVyWxjj, https://drive.google.com/open?id=1WaAp-7u5tKtuVH9AeVzDi4mTbjRCtLMq, https://drive.google.com/open?id=18efX4LxquufRoGeUwE0pL4lFgn6kSLF1, https://drive.google.com/open?id=1-PFtvo3dsInY12YKvzC6zslztxf9kQFJ, https://drive.google.com/open?id=1K0MRJCcZlcM8JLdDcWpUuVjB_fi7gsZl</t>
  </si>
  <si>
    <t>Thay gkk, lõi Pureit</t>
  </si>
  <si>
    <t>Chị thu</t>
  </si>
  <si>
    <t>0903245640</t>
  </si>
  <si>
    <t>5440 cto pgp</t>
  </si>
  <si>
    <t>https://drive.google.com/open?id=1D4KtJudWfOweifrgMdlSSrlHT8JRf5k2, https://drive.google.com/open?id=1gkuVQwT2x53Q7Y55KR6tYN_Dr0UkpJZq</t>
  </si>
  <si>
    <t>Chị Huyền</t>
  </si>
  <si>
    <t>Vòi ur61096H</t>
  </si>
  <si>
    <t>https://drive.google.com/open?id=1YJVvoQxKrhEF47CCMUG3w3D7XkILpqe1, https://drive.google.com/open?id=1EOmyC8saszNRLDcCgNWhN-52PL9zhw_M, https://drive.google.com/open?id=1NMgJtKhj9gUZtpHUAv6K2tysptGekNbB, https://drive.google.com/open?id=1nrwLtN4_FnjuSy8ebZhzSDLJ7qpzgoRm, https://drive.google.com/open?id=1r1m4yJvr2GxI2j9yaPZtrhFjQB0sXmX8</t>
  </si>
  <si>
    <t>Thay vòi mới, k thu tiền</t>
  </si>
  <si>
    <t>Anh Max Tran</t>
  </si>
  <si>
    <t>090 7945515</t>
  </si>
  <si>
    <t>Pgp-cto-ro, mdk 5840</t>
  </si>
  <si>
    <t>https://drive.google.com/open?id=1jEDD2MgDMtBcAFWHRtnKC2VMEeFIMxTg, https://drive.google.com/open?id=1kFc-_Wf9i4QoYAHtSniTLOmFqyNbFbB8, https://drive.google.com/open?id=1aY11zfXSmTr1bnWdCFe3RJv8Jz0KgByd, https://drive.google.com/open?id=1Tvm97rppxQBjJZvq0m3MVUosZQ0T_noV</t>
  </si>
  <si>
    <t>Thay mdk 350k, thay pgp cto ro 58, thu 3812k. Vk đã ck</t>
  </si>
  <si>
    <t>Chị Đào</t>
  </si>
  <si>
    <t>0908873888</t>
  </si>
  <si>
    <t>Pgp cto 5840</t>
  </si>
  <si>
    <t>https://drive.google.com/open?id=17nTXURD-_6kPkl7OYB__CpsrNBQwOc9D, https://drive.google.com/open?id=1TWPo7qgRcz9d_HoyhJi4KuDlUWKlTS9L, https://drive.google.com/open?id=1PTVtw1nDkHgX7VZC_BfeEtUPf9i1iSkt, https://drive.google.com/open?id=1X1Mc11PsDbb4oyFHz8n85zQ8afAj6M1O, https://drive.google.com/open?id=1Kap9pb6mqqRynKqW-cloVfPbrKpbEsMb</t>
  </si>
  <si>
    <t>Đa ck 1540k</t>
  </si>
  <si>
    <t>Anh Phú</t>
  </si>
  <si>
    <t>0767542797</t>
  </si>
  <si>
    <t>https://drive.google.com/open?id=1IjUcjrwuudIMgaXVGkuAmBXf6X1ldV5x, https://drive.google.com/open?id=1BeZoPCJof0vCbZKSBMupMFewSpfhfxWb, https://drive.google.com/open?id=1n3hmIu83dqzZx5oaXJWXAI7ZdETU74dn, https://drive.google.com/open?id=1zP7m3k6OX8aK3GGuBWfLXlUoygmKsp9E, https://drive.google.com/open?id=1jBGgJ8fs7M2ZnR_4m0kQ2tGantkmKod8</t>
  </si>
  <si>
    <t>Đã ck cty 1540k</t>
  </si>
  <si>
    <t>A khánh</t>
  </si>
  <si>
    <t>097 7953766</t>
  </si>
  <si>
    <t>Truliva 5676</t>
  </si>
  <si>
    <t>https://drive.google.com/open?id=1r6bjlJTPJASDDbvTh0yHoDiV4ksIdDmh</t>
  </si>
  <si>
    <t>Đã giao</t>
  </si>
  <si>
    <t>Tống thuỳ Dương</t>
  </si>
  <si>
    <t>0905958228</t>
  </si>
  <si>
    <t>Truliva Ur 61096 H</t>
  </si>
  <si>
    <t>https://drive.google.com/open?id=1oQxXb9OW4ZImP21jkjZbHt5QXYU_qo4n, https://drive.google.com/open?id=1rLaerhwEKqM1Yw0JUUQuwdiiwSa4r1U1, https://drive.google.com/open?id=1XFKuOlU9hkMKZt2UXN2xhTIIyoTKXjPi, https://drive.google.com/open?id=1aGgVfQjJa6OjLwyLVIEzGVgYpTmkCAfK, https://drive.google.com/open?id=1_OD3PBFsweJA5KTtyrOZhCrV8Z9tqMTU</t>
  </si>
  <si>
    <t>Khách đã ck purevita bh máy cho k 3 năm</t>
  </si>
  <si>
    <t>Chị linh</t>
  </si>
  <si>
    <t>0964067552</t>
  </si>
  <si>
    <t>5840  cto pgp</t>
  </si>
  <si>
    <t>https://drive.google.com/open?id=1ds66v7A0SfAS3pWpfKFt3gQcwYhn-3to, https://drive.google.com/open?id=1vkBhMRABnOUwHWeer5NlQ2Rb7S7407KA</t>
  </si>
  <si>
    <t>Vân anh</t>
  </si>
  <si>
    <t>0904904152</t>
  </si>
  <si>
    <t>https://drive.google.com/open?id=1L-gdC1r5eaWswuLNStZPyqCpKoHXlrDW, https://drive.google.com/open?id=17Nhkk5SUQRA27JL4uaLv-eDsIXXQRF76</t>
  </si>
  <si>
    <t>0983218768</t>
  </si>
  <si>
    <t>Cto pgp 5640</t>
  </si>
  <si>
    <t>https://drive.google.com/open?id=1w9zea4H9vCwHWHGfiNTfVGnU1jSTNPKU, https://drive.google.com/open?id=1-PxRKuJ9wnceyJKGTmBpx8zSH_KDeeo_</t>
  </si>
  <si>
    <t>Đức anh</t>
  </si>
  <si>
    <t>0984431797</t>
  </si>
  <si>
    <t>Cto pgp Ro 5840</t>
  </si>
  <si>
    <t>https://drive.google.com/open?id=1eGqw8wX_Emuqpp9Y0tWu_u56Oywf9PaD, https://drive.google.com/open?id=1a9XDzGJAC0cFBM5AebLmU963RA86foRb</t>
  </si>
  <si>
    <t>A hưởng</t>
  </si>
  <si>
    <t>0363820760</t>
  </si>
  <si>
    <t>Cto pgp Ro 5440</t>
  </si>
  <si>
    <t>https://drive.google.com/open?id=1BSxavDSmN9ZzdvjMz0e95tZNJ67c6ns1, https://drive.google.com/open?id=1Uqn3qbtYjJy4QHYfLezgyOXpBowdzFz8</t>
  </si>
  <si>
    <t>A hùng</t>
  </si>
  <si>
    <t>0943622822</t>
  </si>
  <si>
    <t>https://drive.google.com/open?id=1rihm3V3MmMAwGmf70rkdJUIe0gJHgGCk, https://drive.google.com/open?id=1fMeoF_ypQth47_c2GiPDwV6oL9zCJDKf</t>
  </si>
  <si>
    <t>0914383366</t>
  </si>
  <si>
    <t>https://drive.google.com/open?id=1GzCSebyBysGtiZbm--DA9O8gqWrsUTOE, https://drive.google.com/open?id=1leWSc12dkmLh7lJFeFPcfGNWSKlnKAKH</t>
  </si>
  <si>
    <t>0916964980</t>
  </si>
  <si>
    <t>https://drive.google.com/open?id=1jNaU_PpD4PsDuZpf5O0AMLCen7GiJ2j_, https://drive.google.com/open?id=1jSaMSjybJ17B6a0-Wa7RjlBRQWq0EnSC</t>
  </si>
  <si>
    <t>0974214665</t>
  </si>
  <si>
    <t>Pgpcto58</t>
  </si>
  <si>
    <t>https://drive.google.com/open?id=11ItY18_Q8JJbiewNe73tnZdswFLTcMR8, https://drive.google.com/open?id=1nLnFUmrDTF_kM_-_7MDMFGpZLYFPnOCM, https://drive.google.com/open?id=1N1qOmhiN7syFCFy2t039qkr52ZFH5ZHe, https://drive.google.com/open?id=1SJU3TGALjT08v6gu7tSubhbE3ojjA92h, https://drive.google.com/open?id=1-FbLuJv-LO843-bWOpsCT8gtYD64hsid</t>
  </si>
  <si>
    <t>Xuyên</t>
  </si>
  <si>
    <t>0906727438</t>
  </si>
  <si>
    <r>
      <rPr/>
      <t xml:space="preserve">https://drive.google.com/open?id=1Rv0psQF3UYukip4OSGsz5KxwzOoreXxU, https://drive.google.com/open?id=1erKD-eZBIVQPtITU9YNws334qdAnHEoO, https://drive.google.com/open?id=1VeOUQLrudprWI6h4WJ-njy8VTQxkt10t, https://drive.google.com/open?id=1VJsKy90BixkeZHaptYgrreG6Ci3On987, </t>
    </r>
    <r>
      <rPr>
        <color rgb="FF1155CC"/>
        <u/>
      </rPr>
      <t>https://drive.google.com/open?id=13VDCfg2xx-8xwrBP31k-VkPCjNzn5yAJ</t>
    </r>
  </si>
  <si>
    <t>Vũ văn dũng</t>
  </si>
  <si>
    <t>0843299999</t>
  </si>
  <si>
    <t>Lõi lọc máy 5840</t>
  </si>
  <si>
    <t>https://drive.google.com/open?id=1WhqX4fsUV-ZZrDM2CWc1KMCjBN482qJ5, https://drive.google.com/open?id=11QU3i_ap7Ik0CgSLV8GWZGWKK11WvvUX, https://drive.google.com/open?id=1vPlKUgWjNSexaIcfotlJLObtZ_oO-uaK, https://drive.google.com/open?id=1jHpu5F7cw6j7U6qxS3wAXjy-wCBAdY5K, https://drive.google.com/open?id=1Ul6XVNyENPFY3oOfzU8ipE9mzQ_-Nx01</t>
  </si>
  <si>
    <t>A doanh</t>
  </si>
  <si>
    <t>0968624388</t>
  </si>
  <si>
    <t>https://drive.google.com/open?id=1hsThUDCvBnMJ5WuT7CGHYILtDgxj-n-y, https://drive.google.com/open?id=1HQKuSbe3FxdBNoGvsvn-6SghDUbDBdKD</t>
  </si>
  <si>
    <t>Chị hương</t>
  </si>
  <si>
    <t>0985337885</t>
  </si>
  <si>
    <t>https://drive.google.com/open?id=1faxptUdzJS8odz-_5OyWkDqgpcMRqnYE, https://drive.google.com/open?id=1Dn0w3uemsqJzAwlaVIfLV0zCIHeKbfAL</t>
  </si>
  <si>
    <t>Ur 5840 pgp-cto</t>
  </si>
  <si>
    <t>https://drive.google.com/open?id=1BonVyVIM7IFePktHDa_s5hQKGj4GL-V6, https://drive.google.com/open?id=1rmHE3VTKVL8kVnpEiar9VqKaes_a2jip, https://drive.google.com/open?id=1x9ywrZcgAaTiu8czT9ecDJMEYftpfZ17, https://drive.google.com/open?id=14XTUUQTVI2pJCyxPF9KPIGm9rDxDuYJz, https://drive.google.com/open?id=17vz6F9ZBIxCgPJub0w5yHt3xvIy66ljx</t>
  </si>
  <si>
    <t>https://drive.google.com/open?id=1kVIh9pO8pIfMt-FCEpWJdYbBlfr5pd4e, https://drive.google.com/open?id=1hV1lZlcMulvI-ApDKKBcFvVdlpQxCsFM, https://drive.google.com/open?id=1TlPR4YjqBWrFs-E4K8g8HLuALTph4Pfm, https://drive.google.com/open?id=1W-izvLs3_S3ETQpJOkPC0wG6CrY1pULQ, https://drive.google.com/open?id=1z-_QzK_5vkfIQ2EvSO-TdbqX3E_apwty</t>
  </si>
  <si>
    <t>Dư 135k khách cho. Đã báo aNguyên</t>
  </si>
  <si>
    <t>Chị Diệp</t>
  </si>
  <si>
    <t>0934504321</t>
  </si>
  <si>
    <t>139824091100084 ur5840 pgp-cto</t>
  </si>
  <si>
    <t>https://drive.google.com/open?id=1OqSvD6YLyB4iw7GRP0qlrcnARGl4llAa, https://drive.google.com/open?id=1qRfx-HMTMoEb83yASLgtq6z1zoDtV_Dp, https://drive.google.com/open?id=19pGdJw6ZiQs2hAs2kQGxHtrG5GZWlNbV, https://drive.google.com/open?id=1E3fPPn-G-_rqWE7TUPmFxuimxsrtAFOl, https://drive.google.com/open?id=1D2WEDI7VSIYStAf-u00y5A9d8A_nuxQf</t>
  </si>
  <si>
    <t>0948294293</t>
  </si>
  <si>
    <t>https://drive.google.com/open?id=1lh8omVp5g2E0X7yXgk-N1-bN98JDQmdS, https://drive.google.com/open?id=1bZC5ViNtr7M-6Q73OCFMUPtKRDLCUQMj, https://drive.google.com/open?id=1FK3cWfL9myOpQ1vuNvWwf9G6mTHDC-j9, https://drive.google.com/open?id=1fOTru91lGF_POsvMCURyPF4Y9syllEp3, https://drive.google.com/open?id=1rHFUTKtdvsxjIVCqpdlUPgHo27aM656w</t>
  </si>
  <si>
    <t>0909956346</t>
  </si>
  <si>
    <t>https://drive.google.com/open?id=1hH--22wUQqd7D6rT2GXL2ExN4Gh-rMYr, https://drive.google.com/open?id=10E_UH8k3ky1O_JXk8hP_CgqMPEBds63m, https://drive.google.com/open?id=1bSa1kZoZLVj3ol95pTQmecDwSJWAU_B5, https://drive.google.com/open?id=1w4C_IQ3cbD_WmIPLKg_m9otzBvfFC7rM, https://drive.google.com/open?id=1eIL9Y5cvE5V559WgQ52TH4VyjIBz4Kru</t>
  </si>
  <si>
    <t>Lỏng phích cắm trong tủ bếp. Máy hoạt động bình thường. Đã báo khách</t>
  </si>
  <si>
    <t xml:space="preserve">KTV Triều </t>
  </si>
  <si>
    <t>https://drive.google.com/open?id=1o2U5qzneKN11lWmcN5TEHObJUF2zoWyj</t>
  </si>
  <si>
    <t xml:space="preserve">giao hàng cho a triều q10 </t>
  </si>
  <si>
    <t xml:space="preserve">Dương Thị Thùy Dương </t>
  </si>
  <si>
    <t xml:space="preserve">máy ur1096h </t>
  </si>
  <si>
    <t>https://drive.google.com/open?id=1F_UCd4JNpckWl-WOEprdcshjWl4QZxuh, https://drive.google.com/open?id=1vdyXym0jiZ_FV6mukdJFtQLTbXlWMtJ8</t>
  </si>
  <si>
    <t xml:space="preserve">giao hàng qua bên Giao Hàng Nhanh </t>
  </si>
  <si>
    <t xml:space="preserve">Đạt </t>
  </si>
  <si>
    <t>0971487948</t>
  </si>
  <si>
    <t>https://drive.google.com/open?id=1u5cVVgSNSxZ0t7FB7hPd8eLFvDkdeSKU</t>
  </si>
  <si>
    <t xml:space="preserve">giao hàng ra chành xe hữu khánh </t>
  </si>
  <si>
    <t xml:space="preserve">Cty Lạc Lạc Gia </t>
  </si>
  <si>
    <t>https://drive.google.com/open?id=1Uq5vBGL6SySr4JZSlislqNG_VLvGkdpm, https://drive.google.com/open?id=1XKNqvlO8bBQD4JwvPUJTaFUt3GerY8ET</t>
  </si>
  <si>
    <t xml:space="preserve">giao hàng qua lazada </t>
  </si>
  <si>
    <t xml:space="preserve">shoppe </t>
  </si>
  <si>
    <t>https://drive.google.com/open?id=10Ia0Z5z4UzbPi6v8ZuxV3Rzj_05so5wf, https://drive.google.com/open?id=1f51x3ckf387b8xaPo4mRbM36Qt5b0bBN</t>
  </si>
  <si>
    <t xml:space="preserve">giao hàng qua shoppe ,  Văn Phòng phẩm thảo nguyên - Phước Long B </t>
  </si>
  <si>
    <t>Việt Hiệp</t>
  </si>
  <si>
    <t>0876424324</t>
  </si>
  <si>
    <t>https://drive.google.com/open?id=13IS96evJU-8C7910ratiiP9PECwMw3pq, https://drive.google.com/open?id=1xboaDPLWJqpu-ZpJaiBP3ZUALXdo49I_, https://drive.google.com/open?id=1q2_nYGlL6a675M9DiqSnO5mQyEp0n01p</t>
  </si>
  <si>
    <t>giao hàng qua nhà xe long vân Chu Văn An - Cước Phí 40K tiền gửi hàng</t>
  </si>
  <si>
    <t>Chị Kim Hoa</t>
  </si>
  <si>
    <t>0909501988</t>
  </si>
  <si>
    <t>https://drive.google.com/open?id=1AwgVPXghIlOJir_WPI7VmzXZ_m0X8HVH, https://drive.google.com/open?id=1c81dXMk8Gn_oggOYPsA7nyh76buYimjK, https://drive.google.com/open?id=1qIqXczMApMFgHBDMQAnvnCKtFoXJP2gt, https://drive.google.com/open?id=1XC2FVaLNaDzkRYmhC18_C2LYIozTodO4, https://drive.google.com/open?id=1rdvni0DKDm_5e0UZYBDgzJVoQBYvAmzb</t>
  </si>
  <si>
    <t>G</t>
  </si>
  <si>
    <t>Bích hằng</t>
  </si>
  <si>
    <t>0916836886</t>
  </si>
  <si>
    <t>https://drive.google.com/open?id=1cje-_IKnqNJARfImmt1IQzODQcM4MTvf, https://drive.google.com/open?id=1ffxe5hq7w9NM90U7KtqbUmFdXYXuyUx4</t>
  </si>
  <si>
    <t>Trần n lâm</t>
  </si>
  <si>
    <t>0903489820</t>
  </si>
  <si>
    <t>Cto pgp Ro 5640</t>
  </si>
  <si>
    <t>https://drive.google.com/open?id=1aEyPj-vtIFjUOQuzO6oQg4nc0Q23Bv9Y, https://drive.google.com/open?id=1xp69GUjWIbAzy18GtLvh-CqRNVmwD9Zx</t>
  </si>
  <si>
    <t>Cô nguyệt</t>
  </si>
  <si>
    <t>0986716004</t>
  </si>
  <si>
    <t>https://drive.google.com/open?id=1BgD985tiT35smPAPp7VNsT3GRrO2vngw, https://drive.google.com/open?id=1Wa9m0EwAk8zFTnqXx-O1KcT9CqiNAuMZ</t>
  </si>
  <si>
    <t>A hoà ninh bình</t>
  </si>
  <si>
    <t>0978470698</t>
  </si>
  <si>
    <t>Ninh Bình</t>
  </si>
  <si>
    <r>
      <rPr/>
      <t xml:space="preserve">https://drive.google.com/open?id=1qrKx5si7KkJcV3QhysjfM3S1-xS9e6uS, https://drive.google.com/open?id=1rhjhELPNol_K9M2m1MYQdiDP9JcrOF-I, </t>
    </r>
    <r>
      <rPr>
        <color rgb="FF1155CC"/>
        <u/>
      </rPr>
      <t>https://drive.google.com/open?id=1qvKXq37BtdsMYWSWDdlwCFrPJeVZlAQ6</t>
    </r>
  </si>
  <si>
    <t>0942268248</t>
  </si>
  <si>
    <t>Máy lọc nước UR61096H</t>
  </si>
  <si>
    <t>https://drive.google.com/open?id=19_BvvtKMw4beujemDcBEqeGYnEg33yFX, https://drive.google.com/open?id=1nR5nDftD8I-maNl8xTnpf5Uz9spK_Egu, https://drive.google.com/open?id=18D9cDgeNYN-1aWdMb6Etg4ACe4l9WRm4, https://drive.google.com/open?id=16FTa0ZXrNCBco9ACidtMV2M4xgrPdGp1, https://drive.google.com/open?id=19BtYHdqxO2DR9m-E_U20TPA8BLMjueAO</t>
  </si>
  <si>
    <t>Lắp đặt và giao hàng</t>
  </si>
  <si>
    <t>Hồng</t>
  </si>
  <si>
    <t>0902515152</t>
  </si>
  <si>
    <t>https://drive.google.com/open?id=1FXMwVzodrIc27ei2GO2-RxPKcIKZPHhj, https://drive.google.com/open?id=1ZytWXXxPjyld-J1ijcwU05MXuxTIEC2d, https://drive.google.com/open?id=1NbLo3L1PBexoXJ9QvhJIJKqurzFzxZv-, https://drive.google.com/open?id=1beQjI8L4rZnZ4BNBGgXbmjDBkAzjEJ9t, https://drive.google.com/open?id=1A2NLqmpBY2lSCiyWdP8fWJKl9haV83L_</t>
  </si>
  <si>
    <t>Sơn</t>
  </si>
  <si>
    <t>0974550312</t>
  </si>
  <si>
    <t>https://drive.google.com/open?id=1icfnGcDWeciiyGDUy-rz28Y_OOtRMjut, https://drive.google.com/open?id=19IQY0hXvDOKOnNFHRDUvjrT7Jvh0uNdX, https://drive.google.com/open?id=1LFy8UE5TjCw-Q9fRyEW-fVUr0L7UzzX6, https://drive.google.com/open?id=1nhoQlkJ5QSNBW6cx_7h8Jcul3E0LRVns, https://drive.google.com/open?id=1qeTA3mc7ukIkgP02yWHkg2kMd5Ga6z6e</t>
  </si>
  <si>
    <t>Anh Linh</t>
  </si>
  <si>
    <t>0938916766</t>
  </si>
  <si>
    <t>https://drive.google.com/open?id=16sg5L5dlwftz230JlxJ3Q3tR2TB3lcxH, https://drive.google.com/open?id=1-JpnVJE5nsz6wk6JxqTIbporbMR5M008, https://drive.google.com/open?id=17BSvE3hn_DwcQfwh9qc4VKazznkvwbN-, https://drive.google.com/open?id=1u1ZbwxL9eNRUQ9TZTL25m0sSPH1vtMo9, https://drive.google.com/open?id=1GHNG5Dh78-VsTZJrrKrUxDTmWMHfxkDO</t>
  </si>
  <si>
    <t>Thu tiền mặt 190k</t>
  </si>
  <si>
    <t>0347127316</t>
  </si>
  <si>
    <t>Pgp-cto 5440</t>
  </si>
  <si>
    <t>https://drive.google.com/open?id=1DyBl3cZ5rb7sWQtUVQSDdHgUoptUkEQV, https://drive.google.com/open?id=1XI2q_QLdBJQdfE4wh49uNDE7FJTcHnJE, https://drive.google.com/open?id=1ZtJ1ZxTC6h5R3boI6R8pD6xjKXI5gfMM, https://drive.google.com/open?id=1ovxUWfyBsWh6VddjqLgRAun8rQATmyol, https://drive.google.com/open?id=122gkVrg6fikrPxso4FiWGZrqGJ6hPv4O</t>
  </si>
  <si>
    <t>Đa ck cty 1243k</t>
  </si>
  <si>
    <t>0969006698</t>
  </si>
  <si>
    <t>https://drive.google.com/open?id=1qeEL047oQ33pk3LInkhEMv0fwV7eHVQc, https://drive.google.com/open?id=1KtaAaiYUGFhGLSOsp-Ec_nmHGoC1Bc6F, https://drive.google.com/open?id=1DC-D8xVdo_llBLRDO-aM39aSICQPSxgv, https://drive.google.com/open?id=1LwlwazsZ4hlK_xuZvWgI7cjxTmCn6ndS, https://drive.google.com/open?id=1wqJ75qh94VxP3x0FAbbzyoCcLFm8umDb</t>
  </si>
  <si>
    <t>Chú Vinh</t>
  </si>
  <si>
    <t>0932159110</t>
  </si>
  <si>
    <t>https://drive.google.com/open?id=1c5vfQyifTr2nsDaph8LDRPdU1U-K3n8Q, https://drive.google.com/open?id=1G-LWJG4Gi3PVV5-ntLpeuu_u2w1ELe5_, https://drive.google.com/open?id=10ZulA8IxNy0CFHy1uIIn4EQaPYxbBUNT, https://drive.google.com/open?id=1E9ajasjdghthV71S-JzDz0qNmfTDixPl, https://drive.google.com/open?id=1Dm7OT8-demAo1GFwZpXZQ8Z7_Z9VJSGF</t>
  </si>
  <si>
    <t>Lắp 5676, tháo 5440, giao 2 pgp-cto. Đóng thùng máy cũ đủ phụ kiện. Cty giao máy. Ck 11900k cho cty</t>
  </si>
  <si>
    <t>Chú Tuấn</t>
  </si>
  <si>
    <t>0986063737</t>
  </si>
  <si>
    <t>https://drive.google.com/open?id=16IB0HFniW0e1VaomRPj0fafTrMgGjEa6, https://drive.google.com/open?id=1qCxrKJq1ZYb1EOOxLGv4w7qix0jWBNpj, https://drive.google.com/open?id=1wPvamdW-lxvO_vbku8RgwcZ5zjxucaAv, https://drive.google.com/open?id=1OKuPPOypP4yg_1HVUh4SLY9sOZT3ek8I, https://drive.google.com/open?id=17TN3XPVw5C3bjuSNOMsL5EzZBoavPf5N</t>
  </si>
  <si>
    <t>Cty giao, ktv lắp. Ck ty 14,800k</t>
  </si>
  <si>
    <t>Chị Trân</t>
  </si>
  <si>
    <t>0938216598</t>
  </si>
  <si>
    <t>Pgp-cto-ro 5440</t>
  </si>
  <si>
    <t>https://drive.google.com/open?id=1XmPvhu-qDWyxXctQl71z9WUq2udYvgUa, https://drive.google.com/open?id=11IYcC5n_ZG1YYKtMkdLDEYUMSXsGrmOx, https://drive.google.com/open?id=1ZBD7ml6wjCexy4FOo4tEgg85qcdacp_2, https://drive.google.com/open?id=1uK2meGAfxyO2OQ9-EfRM0iWuDJjbMwe1, https://drive.google.com/open?id=1MV2ZH9FZWuoorMdNJli2m3TQQCT8B_8C</t>
  </si>
  <si>
    <t>Đã ck cty 2,650k</t>
  </si>
  <si>
    <t>Thư kỳ</t>
  </si>
  <si>
    <t>0356928888</t>
  </si>
  <si>
    <t>https://drive.google.com/open?id=1kkgFQjz3VS2jYHvRcNGBWPVYr9BSiNE-, https://drive.google.com/open?id=1AX1dUXIQWF9k7cNgdcM0cTuxSksrn6ca</t>
  </si>
  <si>
    <t>Loi cto pgp Ro 5840</t>
  </si>
  <si>
    <t>https://drive.google.com/open?id=1pnIKZA8gVUFR65nWb7N6Zzt0WZNAOrTh, https://drive.google.com/open?id=1LM71-JjlGiYVgJfVLzOgovDwfeC23ykY, https://drive.google.com/open?id=17ktc6aBfde-gEun66y_To4s8VPpULyIB</t>
  </si>
  <si>
    <t>Đã tt cước 60k</t>
  </si>
  <si>
    <t>Lê Minh Thuận</t>
  </si>
  <si>
    <t>Ngân Ngân</t>
  </si>
  <si>
    <t>0342634412</t>
  </si>
  <si>
    <t>Bình Định</t>
  </si>
  <si>
    <t>UR5840</t>
  </si>
  <si>
    <t>https://drive.google.com/open?id=1IBX1fwGtNxkJVHnxJoF-81VAldYfe_MG, https://drive.google.com/open?id=187vUacdoAF9fdFid0qGcGVUt2OPD-nDz, https://drive.google.com/open?id=1MD395fzuZlmdycLKy63TDBybQ31bnEAY, https://drive.google.com/open?id=1osjmsDwU_L8a7fxGG8NmiozAQZEgfJ9J, https://drive.google.com/open?id=1Kqg8uon24Ng0gtwA1vLleMkRQwB_gjye</t>
  </si>
  <si>
    <t>61KM</t>
  </si>
  <si>
    <t>0987896545</t>
  </si>
  <si>
    <t>Pgpcto</t>
  </si>
  <si>
    <r>
      <rPr/>
      <t xml:space="preserve">https://drive.google.com/open?id=1hxWKAqTV0mgY-rZp6JDYdHIbpgR2zW8e, https://drive.google.com/open?id=1uCKZ4TanomOg3pxr905VEuQ6Oj6j9bT0, https://drive.google.com/open?id=1JlohKH3kuGYKT0vR2hbD7feRYwjKDJgI, https://drive.google.com/open?id=1VSfP1q3-3xDGc3CnrjLAPH5GWACfk_Do, </t>
    </r>
    <r>
      <rPr>
        <color rgb="FF1155CC"/>
        <u/>
      </rPr>
      <t>https://drive.google.com/open?id=1x63wpv3xvAG-FI_sDgC_avEqlL27vFY-</t>
    </r>
  </si>
  <si>
    <t xml:space="preserve">A Tien </t>
  </si>
  <si>
    <t>0789658297</t>
  </si>
  <si>
    <t>https://drive.google.com/open?id=1zdZvtSB7loq93zpxMbJ22faHhLaE5tJH, https://drive.google.com/open?id=1Jj5V_-kuID1du4R07Kzd-Zy7N4Pfud0b, https://drive.google.com/open?id=1z9I8nH-gnje66s4sQQi_qJCE6jUwCxD1, https://drive.google.com/open?id=1pjQ906g1gDF-1juLl7L3IT6zjFBi7qMI, https://drive.google.com/open?id=1fnoVuEZbkYfhR89WjKZaisN1IVYaXzsE</t>
  </si>
  <si>
    <t>Npp hưng thịnh</t>
  </si>
  <si>
    <t>Ur 61096 h</t>
  </si>
  <si>
    <t>https://drive.google.com/open?id=1E3EkN6ENpPwhR2GmGNGbgDFtFihZugK1, https://drive.google.com/open?id=1PFRjGrKcdUF7WAvO3UdJCb0X5mKxDWyb</t>
  </si>
  <si>
    <t>An</t>
  </si>
  <si>
    <t>0911714176</t>
  </si>
  <si>
    <t>Pgp cto</t>
  </si>
  <si>
    <t>https://drive.google.com/open?id=1eZhcZGGbc2msK3yjTMw25gjHLpmeYiQ4, https://drive.google.com/open?id=1S5Jfr7uKru9Quj2nTc-53Jdc7YkmoVbm, https://drive.google.com/open?id=1V0P3xRk8pfFSiYT_DNDZzw6UQDD7scF9, https://drive.google.com/open?id=1dIIMh89DhhcFjMOBMaYS_kZmIc2e8O8h, https://drive.google.com/open?id=1-BT9CDpkx9foZXz9Gagi1IJHqA8pI3aq</t>
  </si>
  <si>
    <t>Cty Hưng thịnh</t>
  </si>
  <si>
    <t>https://drive.google.com/open?id=1BaHGDDTSdVd2bsVx10ey479Swiyufb40, https://drive.google.com/open?id=14W_lDxfX1fLVKF3THWgV_5VWrxHBMZvd</t>
  </si>
  <si>
    <t xml:space="preserve">Ktv đã ck </t>
  </si>
  <si>
    <t>Cô Tuất</t>
  </si>
  <si>
    <t>0933152905</t>
  </si>
  <si>
    <t>UR5640</t>
  </si>
  <si>
    <t>https://drive.google.com/open?id=1ghfAq30R5tdRjsTCdAeDzr3-4UDseEjv, https://drive.google.com/open?id=17zc3pWlTVWtaFZDvhmGtp671hqzPqOIL, https://drive.google.com/open?id=1W8N5YT_0qlSD1WEe2GIeSg5MVslI4Awx, https://drive.google.com/open?id=1YpjjGrwKl74Z-u76aDhA-m6BQWeBIYUV</t>
  </si>
  <si>
    <t>Thay PGP CTO 5640</t>
  </si>
  <si>
    <t>Chị Chiến</t>
  </si>
  <si>
    <t>0932600151</t>
  </si>
  <si>
    <t>https://drive.google.com/open?id=1qugVU0pgIQCC95kfrKw97Opa_-XE0ovF, https://drive.google.com/open?id=1SA9hZbTrVFvkJNKPlV3eJpZfNIN1Dy7X, https://drive.google.com/open?id=1lrU_nvlp4jTLXqhHiyPx8rtP8lrIEz-X, https://drive.google.com/open?id=1mNzCVk3j-D1aANTIWNDBQxtmdnqZ7J_y, https://drive.google.com/open?id=13fQd036tMomwYa2IpZDK9v-q7CefQyQX</t>
  </si>
  <si>
    <t>Chi xuân</t>
  </si>
  <si>
    <t>0912119165</t>
  </si>
  <si>
    <t>https://drive.google.com/open?id=13VSI2T9ANiFFR6ykQD1Wp_GoTBNuXqMy, https://drive.google.com/open?id=1MCCGiZu7gTYqkarISx3olybORVq26E2O, https://drive.google.com/open?id=1-yEwVjnw3Rm97039V-oIFqqx_1h31rCU, https://drive.google.com/open?id=1s05V5P3A5kcUh3bsJWEhKBqy5tq7RiN5, https://drive.google.com/open?id=10zPw_pbgKfWhl2vPeXUA_rsKFxBCaLaj</t>
  </si>
  <si>
    <t>Đã thay lõi lọc máy 5840</t>
  </si>
  <si>
    <t xml:space="preserve">Anh Quý </t>
  </si>
  <si>
    <t>0908163040</t>
  </si>
  <si>
    <t>https://drive.google.com/open?id=1zKiLVgrCI3zH91ekOgp4tTPkz3Udbylp, https://drive.google.com/open?id=1gojlH2jOTVpru8OhMd2f5OC6fvUcRK7Z, https://drive.google.com/open?id=1D57dE-KbCAdhJLRp2DZ3-LuhaiCAq9dj, https://drive.google.com/open?id=1Pif7qKAK3_471eS8WPGLQ90F3-A0d3Mf, https://drive.google.com/open?id=1I4a8QExmRwhJanwpu9ExpsevLZZCgZTZ</t>
  </si>
  <si>
    <t>Khách ko thanh toán phí phát sinh 60k</t>
  </si>
  <si>
    <t>Chị Hồng Đức</t>
  </si>
  <si>
    <t>0981909538</t>
  </si>
  <si>
    <t>https://drive.google.com/open?id=15g8bHlD8U-6x5jQHDT8WFFNVlw8k7TVW, https://drive.google.com/open?id=1g_YtHjfly95qMueIEe_KCZiCNA89NPqa, https://drive.google.com/open?id=1AwZgprUaw-cy_rn3qQMa0DYAh7-gJWUb, https://drive.google.com/open?id=1K-NCT4QOzZayi6A8hN_p3zcHH1G89aFL, https://drive.google.com/open?id=1fRE4cfI3DR-8v1kOXs7o8mgsb769Jc9m</t>
  </si>
  <si>
    <t>Không thu tiền. Khách có máy sẵn</t>
  </si>
  <si>
    <t>Lưu Đức Thắng</t>
  </si>
  <si>
    <t>Bác Nhã ( Anh Đức)</t>
  </si>
  <si>
    <t>091 2275842</t>
  </si>
  <si>
    <t>Hà Nam</t>
  </si>
  <si>
    <t>Truvila</t>
  </si>
  <si>
    <t>https://drive.google.com/open?id=1RZyJ2dXf8JFFhucyzDK2AVDEQoDdjSMd, https://drive.google.com/open?id=1KmHkTMYJ0junWIDtWEwUUR2m7RidHWqc, https://drive.google.com/open?id=1FX5dHYOkUR3E1cyRcS460ZsA0LvfgnXe, https://drive.google.com/open?id=1QdHHLkP3zK2kgdHNtod5zGQ7oopsKYtk</t>
  </si>
  <si>
    <t>Khách hàng chuyển khoản</t>
  </si>
  <si>
    <t>Phương hiệp</t>
  </si>
  <si>
    <t>0936606136</t>
  </si>
  <si>
    <t>https://drive.google.com/open?id=1AYmwpH2Yq08gd7dJCSqoaRW2d--JI2Lm, https://drive.google.com/open?id=1HjsZjF2h7RZ_swlQ7AOCxf-M9oNFPHkh</t>
  </si>
  <si>
    <t xml:space="preserve">A diễm </t>
  </si>
  <si>
    <t>0914823123</t>
  </si>
  <si>
    <t>https://drive.google.com/open?id=1TqRv_xhRY9SIDlfZjRhNMnnGj9Cf5qwV, https://drive.google.com/open?id=1P7AEZusI5osh0CuPKUQU-5U0oc6YnnSR</t>
  </si>
  <si>
    <t>Chú hà</t>
  </si>
  <si>
    <t>0972351818</t>
  </si>
  <si>
    <t>https://drive.google.com/open?id=1UDy9AKc37fMwZ9hasp7AmlwJnjbZZGEI, https://drive.google.com/open?id=1GIcRTrJDzc2fzTPNO7awUfHG6ONcajha</t>
  </si>
  <si>
    <t>Anh Bảo</t>
  </si>
  <si>
    <t>https://drive.google.com/open?id=1N-7h64jgzV9bfNDoUbtSj21Bt1eKGC1R, https://drive.google.com/open?id=1AoW4C1m_D7_rmBseVyrUg8K5kQxGuTUc, https://drive.google.com/open?id=1qYRt7WrG2mWiAWyeXL0oUsmlSiiFiGht, https://drive.google.com/open?id=1dmRh5hsZwkRfuHw56--boh4j4en-E6ec, https://drive.google.com/open?id=1-bUyA9RMkVmNi-mFY_mGkjMrPuBxpZmd</t>
  </si>
  <si>
    <t>Khach ck 16.4tr</t>
  </si>
  <si>
    <t>Anh Minh</t>
  </si>
  <si>
    <t>0948462222</t>
  </si>
  <si>
    <t>https://drive.google.com/open?id=1uxFGtF9IkYNKzETsuUnK-v-hoGvIV7yU, https://drive.google.com/open?id=1dwBs6ghWk1TwV846YNvjGG3lILw_VKud, https://drive.google.com/open?id=1otksfnRoo-1gwNsxkjePqityehklyfu1, https://drive.google.com/open?id=1-0fN4cGrUFGFqk5GLRQsE_RadnGR7aSa, https://drive.google.com/open?id=1j-boIcmiXekhwJowyDGhwwaMrA2wtTTS</t>
  </si>
  <si>
    <t>Ck cty 1405k</t>
  </si>
  <si>
    <t>A phú</t>
  </si>
  <si>
    <t>0946838966</t>
  </si>
  <si>
    <t>https://drive.google.com/open?id=1Jd_XOjHJ2FrHlwM3Wr8x3Oh_JCSKVtFi, https://drive.google.com/open?id=1f22r8S92wHelhOlmijXfFgPeCr43mhGy</t>
  </si>
  <si>
    <t>0903256818</t>
  </si>
  <si>
    <t>https://drive.google.com/open?id=17VkhIwY-2vFANbNnPwpM_lt7OoWluLQT, https://drive.google.com/open?id=1Ff5w1wMDfqyv53LU92wh2NSsTEBHeoDr</t>
  </si>
  <si>
    <t>A hoan</t>
  </si>
  <si>
    <t>085797838</t>
  </si>
  <si>
    <t>https://drive.google.com/open?id=1UG_5BMTm46Wmulh-QN52HeyznsvOqnVe, https://drive.google.com/open?id=1esrye4RDEk4mITX8Pr1tiYbQ5y9PyHBX</t>
  </si>
  <si>
    <t>https://drive.google.com/open?id=1mW3bJf00BuCJMOxHHCCfFJcYQRSqViO5, https://drive.google.com/open?id=1EW15VHwACxUuwww8dZGHgpMnF1d5cTmk, https://drive.google.com/open?id=1c_X_fOazp9WiJw5PG4aDbqzzZa_L6put</t>
  </si>
  <si>
    <t xml:space="preserve">Đã giao </t>
  </si>
  <si>
    <t>Trần thành đạt</t>
  </si>
  <si>
    <t>0345560327</t>
  </si>
  <si>
    <t>https://drive.google.com/open?id=1HaLXNa19n1jJadla0QEt4JTB7lIGB3Mh, https://drive.google.com/open?id=1WL18ciyV7w3S7BjGuYwrLxJKgfPefjjd, https://drive.google.com/open?id=1VVTsaMXlxzhwNG6BTXwVjimsQM7rurJ7, https://drive.google.com/open?id=1EVd_GyTUAgEt7H5kOZyG3Xgx7l9jtXou, https://drive.google.com/open?id=1bF_HG_oT21uz-V3oVRGcBpYSimQOt-Fb</t>
  </si>
  <si>
    <t>Đã lắp máy U R61096H</t>
  </si>
  <si>
    <t>Tấn phú</t>
  </si>
  <si>
    <t>0938501171</t>
  </si>
  <si>
    <t>Pgp-cto-ro 5840</t>
  </si>
  <si>
    <t>https://drive.google.com/open?id=1wKlmKSqJ3WjhqFPEik4F7zRUva0M2wKz, https://drive.google.com/open?id=128Jjf8XAMlPjklgJJOdkprDbo68lgkUb, https://drive.google.com/open?id=1YMVsSbc0jhlB9fW8BJQDpvfIX9Xsmd52, https://drive.google.com/open?id=1BdviOvWGmIYhwXs-d3eLH8_RvtORF7XS, https://drive.google.com/open?id=1eAeONUOnIkzYKgayTreimZshVG4zycun</t>
  </si>
  <si>
    <t>Sale lien hệ khach ck</t>
  </si>
  <si>
    <t>0933443395</t>
  </si>
  <si>
    <t>https://drive.google.com/open?id=1W_CJKumv4Z8rI5GxRsSwqFW-NWMGtSEX, https://drive.google.com/open?id=1Da0Y65mM4PBsF-kiEsBwa-9sJLZlhsn3, https://drive.google.com/open?id=1VtDaXhimsuYFWF_2oFnTA4OBNLPiJJEF, https://drive.google.com/open?id=1ZOgEFC5FVkm7xwGoSFR-4qQaJG-l9rLa, https://drive.google.com/open?id=1NFR8adOjqm96a47hMnurLu1nz7jEuMv8</t>
  </si>
  <si>
    <t>Khach chk roi</t>
  </si>
  <si>
    <t>Anh Thắng</t>
  </si>
  <si>
    <t>0949490159</t>
  </si>
  <si>
    <t>Pgp cto 5640</t>
  </si>
  <si>
    <t>https://drive.google.com/open?id=1j5_sLpLhiQl1dzLcEoS9pWVfVZ3I1Aah, https://drive.google.com/open?id=1Bm8qkjvoXm3BjaymLRDzBswkofztvRKn, https://drive.google.com/open?id=1D4zc8vGlHjohKnNueAnOUfhx8btBDq2W, https://drive.google.com/open?id=1P0w1VLEY8fBCyIl7EDmCLOorsrEmK-m2, https://drive.google.com/open?id=14rHksz6YaFfl1RDKt3j2oPI1AGQugw5p</t>
  </si>
  <si>
    <t>Đã ck cty 1360k</t>
  </si>
  <si>
    <t xml:space="preserve"> Xxx</t>
  </si>
  <si>
    <t>Lõi lọc</t>
  </si>
  <si>
    <t>https://drive.google.com/open?id=1HR1o3Q0wqC4duSF0Xx7W5khz-8xDb7DP, https://drive.google.com/open?id=1OQGIUg8zEbCVXue4H14EtVPUG55eccir</t>
  </si>
  <si>
    <t>Giao hàng ra nhà xe long vân ngày 15/1</t>
  </si>
  <si>
    <t>https://drive.google.com/open?id=1S9S5uSEZVhWDu4kTZdvYAdTvBvgA18oU</t>
  </si>
  <si>
    <t>Giao hàng qua Shoppe ngày 15/1</t>
  </si>
  <si>
    <t xml:space="preserve">Giao máy </t>
  </si>
  <si>
    <t>https://drive.google.com/open?id=1pDyDcxOnIepvOj76w4Lt-Obbw2rd1Z6i</t>
  </si>
  <si>
    <t>Giao máy qua bên Giao Hàng Nhanh 15/1</t>
  </si>
  <si>
    <t>Giao máy 1096H</t>
  </si>
  <si>
    <t>https://drive.google.com/open?id=1U4JhLCP8gMgmAmYUPRlQULKe0ONnlUHy</t>
  </si>
  <si>
    <t xml:space="preserve">Giao máy qua Q4 cho a triều </t>
  </si>
  <si>
    <t>Máy và lõi lọc 5840</t>
  </si>
  <si>
    <t>https://drive.google.com/open?id=1sCk7jcZ5oiqKUXP_vSu8m88UJ_-hf74r, https://drive.google.com/open?id=1mCOU1lTzxhGs8cxqK9u8woi3bz5jvG8f</t>
  </si>
  <si>
    <t xml:space="preserve">Giao máy qua Q8 cho a triều </t>
  </si>
  <si>
    <t>Ng đăng nhật</t>
  </si>
  <si>
    <t>0346761576</t>
  </si>
  <si>
    <t>https://drive.google.com/open?id=1hPaSCsplhHaYYaindAgSHK4szXoIzwzk, https://drive.google.com/open?id=1bVApu3WYlBShjyqgDm-avPLWyYptElu6</t>
  </si>
  <si>
    <t>Thanh tâm</t>
  </si>
  <si>
    <t>0973280992</t>
  </si>
  <si>
    <t>https://drive.google.com/open?id=1uxtv3wWE-C27yKExa2apRsB5Sk8iM5dK, https://drive.google.com/open?id=1rDMenknUBdfGD5JE7VlOM595eJmrDw9-</t>
  </si>
  <si>
    <t>Nguyễn Hữu Khánh</t>
  </si>
  <si>
    <t>0927118929</t>
  </si>
  <si>
    <r>
      <rPr/>
      <t xml:space="preserve">https://drive.google.com/open?id=17tJ5fVKWk-tO0tDK5-npWZUwyANTPNZk, https://drive.google.com/open?id=1KbRm91J8RRqi2psRkcP4sC2vVq2uE9DV, https://drive.google.com/open?id=1zJBpQFbLg7lrD8JJ5b3hrRNTZiVwIjjc, https://drive.google.com/open?id=1IqGmrs4HUDlBEgO1ym3RqjOZtQUFZqof, </t>
    </r>
    <r>
      <rPr>
        <color rgb="FF1155CC"/>
        <u/>
      </rPr>
      <t>https://drive.google.com/open?id=19lxjsQnZ1OzUEsXE7A5odvh8BrCjKdPQ</t>
    </r>
  </si>
  <si>
    <t xml:space="preserve"> </t>
  </si>
  <si>
    <t>0907976606</t>
  </si>
  <si>
    <t>https://drive.google.com/open?id=1-t6f4siHYIo9GE12sxa4DboUKHb0bcON, https://drive.google.com/open?id=1KMZ88eerJqjwutdlJYKFJgdT1iMsK369, https://drive.google.com/open?id=1TY7xrPBQdXnIjOgLpbMiZhTk3PZB6PYh, https://drive.google.com/open?id=10NWUMXGqBf79OrmTyizxuqN7jtHQyBCa, https://drive.google.com/open?id=1k7p-D7zi6QQ_dqE_DJMb4s-ALRv7lyVr</t>
  </si>
  <si>
    <t>1243k đã ck cty</t>
  </si>
  <si>
    <t>0833139692</t>
  </si>
  <si>
    <t>https://drive.google.com/open?id=1OhbY4rWEvFFVV1wGGJgKXK4mcj8TBme8, https://drive.google.com/open?id=1emYot_L2wfr5PbyL1WU0Xk7Bd7CLeTXw, https://drive.google.com/open?id=1Wb1Vv317Ro8yNxdzfzUdBp4j4VtSx8ro, https://drive.google.com/open?id=1F_nYD5upMF2uc9Bw2BDBJhCJ1_h97-WE, https://drive.google.com/open?id=12Oepu7FrhIaV_6sJcSrqeJKxreRys3KB</t>
  </si>
  <si>
    <t>0982457525</t>
  </si>
  <si>
    <t>https://drive.google.com/open?id=1Hdju0TOk_NMZ2idOlOF7QfdvuUVja3_-, https://drive.google.com/open?id=14dYXO4TSVp1eej-16CLCvsE6pY0DrDY8, https://drive.google.com/open?id=1C_vKCBNjuca268KT8y_iRSCFi_8OWOJ7, https://drive.google.com/open?id=1IB_dAlWCj10qSUnI5O9zmlwdYAhc6QkE, https://drive.google.com/open?id=1CaFtQG5BW2gtqZkp5_hQdHqXan-7cmKj</t>
  </si>
  <si>
    <t>Đã ck cty, nối miếng dây đưa máy lên cao dùm khách, thu tiền 2 co 30k, dây tặng k tính</t>
  </si>
  <si>
    <t>Phạm Văn Vũ</t>
  </si>
  <si>
    <t xml:space="preserve">Xuankhoahong </t>
  </si>
  <si>
    <t>0939405599</t>
  </si>
  <si>
    <t>TP. Cần Thơ</t>
  </si>
  <si>
    <t>Máy lọc nước truvila UR61096H</t>
  </si>
  <si>
    <t>https://drive.google.com/open?id=18zJLcEuWcVYPrLpP29FnwF4jYC38f3zr, https://drive.google.com/open?id=1ofFZ_POVN3qFjQwr2kpUPVadVKgkXLNC, https://drive.google.com/open?id=1pD3nLXCOSNjOD75xB54prTeDN0Hm_GtX, https://drive.google.com/open?id=1xioC78OJ3cVahNg9nCKWNrvMykqVniJH, https://drive.google.com/open?id=1OMI96JrSeVckUibkCwltJuQyW_S5_ouk</t>
  </si>
  <si>
    <t xml:space="preserve">Giao lắp ráp hoàn chỉnh </t>
  </si>
  <si>
    <t>Minh nguyệt</t>
  </si>
  <si>
    <t>0966380132</t>
  </si>
  <si>
    <t>https://drive.google.com/open?id=1kkH-v2u6oCB-d0B8Jd3a6CEfje_FsapI, https://drive.google.com/open?id=1yt3i90sUNbSNW4hu1lHKL8VyjoZSHotm, https://drive.google.com/open?id=1fjyqUg6JWt78OguKkRtAIW-lmy7chEPB, https://drive.google.com/open?id=1GowhdlY3XF92MGC63OxYQGHLcQO4CUzA, https://drive.google.com/open?id=1ZtRSaspUMMbDP47UCSpMsgk1V_RHcGsw</t>
  </si>
  <si>
    <r>
      <rPr/>
      <t xml:space="preserve">https://drive.google.com/open?id=1Xq1OTlvt9yHK__Vw8q0bN4E4GRnZPMGP, </t>
    </r>
    <r>
      <rPr>
        <color rgb="FF1155CC"/>
        <u/>
      </rPr>
      <t>https://drive.google.com/open?id=1Q6JCYl8P2bfBiSbfQLC5EJS-SRT-AfTM</t>
    </r>
    <r>
      <rPr/>
      <t>, https://drive.google.com/open?id=1_dNGWoNs0mgdaLr1Hxzt_WcVua3aYuou, https://drive.google.com/open?id=1DzSifuVLNcAkcR_dTGx6XcoXjnydAUaS, https://drive.google.com/open?id=1jrz1ZUzKCqpRAI7TXDtfcNURJxEfUTzI</t>
    </r>
  </si>
  <si>
    <t>Ko thu tien</t>
  </si>
  <si>
    <t>Chi Linh</t>
  </si>
  <si>
    <t>0772420406</t>
  </si>
  <si>
    <t>https://drive.google.com/open?id=1Yb5KIOgS6sO_rh8z_17zcSNVFsXOTb1D, https://drive.google.com/open?id=1BGOE485a116MpfsmRDeirSLTC6m_zz4K, https://drive.google.com/open?id=1ssS7rk7X3n712O1EFljuvePESV786TBZ, https://drive.google.com/open?id=1KT9esYpBYS4lEtjw5xr7kWQlDUJ523vC, https://drive.google.com/open?id=1a9g6f5_umQQnWqKo3fH35vh-RsNVqGDy</t>
  </si>
  <si>
    <t>Phat sinh 75k, khách ck cty tỗmg 16.975k</t>
  </si>
  <si>
    <t>Diệu linh</t>
  </si>
  <si>
    <t>0982987333</t>
  </si>
  <si>
    <r>
      <rPr/>
      <t xml:space="preserve">https://drive.google.com/open?id=1oyTP0nvgxA9pgXCYutwN8bMb_NuUoJoO, https://drive.google.com/open?id=1nph_hNGEVtrdt6MpNJ0AHPAiYJ4l_CsN, https://drive.google.com/open?id=1uKJUR6mTDZ0R1dMSC8_aafOo3_ToehDd, https://drive.google.com/open?id=1Yo03lFCzxCWUHr783nqrUebSGTMWjrWw, </t>
    </r>
    <r>
      <rPr>
        <color rgb="FF1155CC"/>
        <u/>
      </rPr>
      <t>https://drive.google.com/open?id=1nsl0foQ0r9vBFyLlWyc4m45x_w5tO9G3</t>
    </r>
  </si>
  <si>
    <t>Thay lọc</t>
  </si>
  <si>
    <t>Linh linh</t>
  </si>
  <si>
    <t>Máy 1096H</t>
  </si>
  <si>
    <t>https://drive.google.com/open?id=1Z9NP-FlFVx3qeHNEjUh3AnCEXVM0M0jF</t>
  </si>
  <si>
    <t>Giao hàng cho a triều</t>
  </si>
  <si>
    <t>Phạm phúc thịnh</t>
  </si>
  <si>
    <t>0866778362</t>
  </si>
  <si>
    <t>UR 61096</t>
  </si>
  <si>
    <t>https://drive.google.com/open?id=1z7rH6LL8GxEPAq6eIaYmN8xMIKQWy-3M, https://drive.google.com/open?id=1SMlXXefrmrT7_j3K9Xs4JGafo6b4BByc, https://drive.google.com/open?id=1askTjkEPP7o4hDcGutJgr3-2-yMfYA32, https://drive.google.com/open?id=1bofNLjoXiKJLmvWsLPyXSxLMy7OwyEEQ, https://drive.google.com/open?id=1yVzVROiQ5W4D3SQFkAKSK04dB1iXJ40U</t>
  </si>
  <si>
    <t>Bich Ngo</t>
  </si>
  <si>
    <t>0824211111</t>
  </si>
  <si>
    <t>https://drive.google.com/open?id=1JDfGaR5pPTFBt4Ihhk-P0B8FD2ZNbOTC, https://drive.google.com/open?id=10AAKBKLXe0cehE9wFsVAtKtMzp49S9j3, https://drive.google.com/open?id=1_fZvvpsQYAy1hFiChR5lza5uWwEtWU5q, https://drive.google.com/open?id=1TFULi5gm9KnjuvkGjUtvZ6VNZHTeV7-X, https://drive.google.com/open?id=1dsbuK3ZeR-KrBgiIkl_pa7tqfjVXDkUg</t>
  </si>
  <si>
    <t>Ngân hà</t>
  </si>
  <si>
    <t>0909079037</t>
  </si>
  <si>
    <t>Pgp-cto</t>
  </si>
  <si>
    <t>https://drive.google.com/open?id=1L2PcFFfzt43nzCpJrAFqaTzR2RLFElKE, https://drive.google.com/open?id=1X5mJEApsxc6lGbimtU-KI9bVPylLzuJW, https://drive.google.com/open?id=1S5I9Sv7WWKFz7zq18Xc6mt0gYIuSXE4B, https://drive.google.com/open?id=1hRiuzJRL6HyJ400TyIUVVohCcLoPJFI5, https://drive.google.com/open?id=1ruZu2O_YbJYYngk5g0E6utPD0LLVFhcA</t>
  </si>
  <si>
    <t>Anh Du</t>
  </si>
  <si>
    <t>0708255155</t>
  </si>
  <si>
    <t>https://drive.google.com/open?id=1kSHl-89FBXLIcGUUk_f0N5qjjNkHnlbd, https://drive.google.com/open?id=1FnH02Qt83qw2JeP-pgLEC4uUDruMeHTy, https://drive.google.com/open?id=1EQNbccVBlCFBWufIbabW0hY0OBuKt6Cd, https://drive.google.com/open?id=1OlHkMG5CFbUrsCV1ZqAz__bJsxE6MO8g, https://drive.google.com/open?id=1jeodtTZNBRuxaIUiCsMLjgMDlkayx0gT</t>
  </si>
  <si>
    <t>Ck ty 1243k</t>
  </si>
  <si>
    <t>Hoàng Đức</t>
  </si>
  <si>
    <t>0985875886</t>
  </si>
  <si>
    <t>5840 - pgp và cto</t>
  </si>
  <si>
    <t>https://drive.google.com/open?id=1LBlMqpYzxBnlwX2x2I2ggOZFCfsMO8cq, https://drive.google.com/open?id=1rHHkb4KS8zewVXw-a0bhnW3N0O9MEEgF, https://drive.google.com/open?id=1V4ZxCcrEz0-l1RBmjMkwISLJx1ZOBzVi, https://drive.google.com/open?id=1HPbnKxSIQsANjZClV3MUNYtIK3uIAgNF, https://drive.google.com/open?id=1ifY-ZZTNmXmc6FaEcjGo9rMP9zAz8M6s</t>
  </si>
  <si>
    <t>Lan anh</t>
  </si>
  <si>
    <t>0938282989</t>
  </si>
  <si>
    <t>https://drive.google.com/open?id=1A1UEHBrP6VPRqgYh-AIbPxxc6eB5Nzv5</t>
  </si>
  <si>
    <t>Giao cho a triều Q10</t>
  </si>
  <si>
    <t>0903491228</t>
  </si>
  <si>
    <t>https://drive.google.com/open?id=18zY3cVSPGYkjk0A-GUAYFYGmWZPF-XGd, https://drive.google.com/open?id=1qRK_aXhnghnKpWFc94DY6Nb3ndaND4PK</t>
  </si>
  <si>
    <t>A thắng</t>
  </si>
  <si>
    <t>0911425555</t>
  </si>
  <si>
    <t>https://drive.google.com/open?id=1kGpD1JJ5l26QUKBa54jBYDdo7LzZVzYT, https://drive.google.com/open?id=1u1Dus1nPM4JR-3DyGLPNzeHsjNUmyEAR</t>
  </si>
  <si>
    <t>Thu hoài</t>
  </si>
  <si>
    <t>0916131994</t>
  </si>
  <si>
    <t>https://drive.google.com/open?id=1-8qu18LHH86xM-f0hxBCHcpDXIeY3psm, https://drive.google.com/open?id=1qajtyPdEccHukIJ8BSq-LZxWLYi-NQVn</t>
  </si>
  <si>
    <t>Cô ngà</t>
  </si>
  <si>
    <t>0979693477</t>
  </si>
  <si>
    <t>https://drive.google.com/open?id=1v0JSiD9qm1OEDb3_M-giRp5G92iJ7Ny6, https://drive.google.com/open?id=1036FW92e6g-3xsAO04fOAK_fJPTWWwBW</t>
  </si>
  <si>
    <t xml:space="preserve">Chị Bích Hằng </t>
  </si>
  <si>
    <t>0966451288</t>
  </si>
  <si>
    <t>https://drive.google.com/open?id=18sws1d6xMbPJqe6C1DhvT2u23LioF3IQ, https://drive.google.com/open?id=1PC5vlCDoJRk1-OvHk4ybjsXQCWKaxXWo, https://drive.google.com/open?id=11Owi5dI8cIJDRhv6pQnq5id1Jm5B25Cn, https://drive.google.com/open?id=1P6JXjrRoUIZ3IEiEV2RcKfoaq5etBzdc, https://drive.google.com/open?id=1XEWQBuwdkgXJPInApLGfPOxz2j6r5R8t</t>
  </si>
  <si>
    <t>8km</t>
  </si>
  <si>
    <t>0347870094</t>
  </si>
  <si>
    <t>https://drive.google.com/open?id=1W-kOlx2JYM4MG2vFCv06a2oae_UVJzfl, https://drive.google.com/open?id=1HxYcrInK2YGYXUIC1q9uJIAMkOihoxTh, https://drive.google.com/open?id=1a48zIFf8iUqVZCBXZ1dXgIAPBhUqeXt6, https://drive.google.com/open?id=1eWcQ8AKWyJ4IVCBiyulyQ0OzkGfUEPyi, https://drive.google.com/open?id=1tXtVgJcPYtH4oTpkYZhmnxtJ6-jYgG8M</t>
  </si>
  <si>
    <t>Giao lắp máy mới 120km</t>
  </si>
  <si>
    <t>Lan Anh</t>
  </si>
  <si>
    <t>Máy UR61096H</t>
  </si>
  <si>
    <t>https://drive.google.com/open?id=1WRULvIULGdyXcdi0LIPpK_Pnd1cQ4z9y, https://drive.google.com/open?id=1FgZhiBTOkNkUumk1BIox37jmfLyjwX4U, https://drive.google.com/open?id=152dtXhhdNBOcDoRFOzxv-E2yNOt2FZl-, https://drive.google.com/open?id=1zNk9G9hSi3eEoycprNyAyDyIJXvumAOx, https://drive.google.com/open?id=1ig08HKWiRHVjUB6yhganeaMlJV2tIFRV</t>
  </si>
  <si>
    <t>Khách ck rồi. Có xuất hoá đơn</t>
  </si>
  <si>
    <t>0984211151</t>
  </si>
  <si>
    <t>https://drive.google.com/open?id=1F9anhivU9Ko6mqTkIIn33Pw3unlV-E9n, https://drive.google.com/open?id=1YiIJ5JmjIWM-4gB1j3Oc5CadC0nlqWmF, https://drive.google.com/open?id=1p-T-bB2PZ5QH3AuRZH3yJR0n9fzwrNhd</t>
  </si>
  <si>
    <t>Giao pgp và cto 58</t>
  </si>
  <si>
    <t>XXXXX</t>
  </si>
  <si>
    <t>Tuấn anh</t>
  </si>
  <si>
    <t>0969334733</t>
  </si>
  <si>
    <t>https://dr:ive.google.com/open?id=1PLzhDe_RN2MhhBOtJbtzQZ36mynsBaqU, https://drive.google.com/open?id=1UPQwW_jySkRlfK2AZ7UY_IahWqJDzoWs, https://drive.google.com/open?id=1-kx8uRwc4VIsRhy9lWD8aHCEZW66rkmP, https://drive.google.com/open?id=1zk8LrUXpGkqqOnh5LLK1BMLpSnPkKXtI, https://drive.google.com/open?id=1eLzaRHS2lWwzY3WSl4L7-3FYWs_eyu_e</t>
  </si>
  <si>
    <t xml:space="preserve">diệu hiền </t>
  </si>
  <si>
    <t>máy nóng</t>
  </si>
  <si>
    <t>https://drive.google.com/open?id=1ZA9L6Vr-dEvo04WnHAzJF_xu9iG_Vqk9</t>
  </si>
  <si>
    <t xml:space="preserve">giao hàng cho anh tuấn </t>
  </si>
  <si>
    <t>A triều</t>
  </si>
  <si>
    <t>giao máy nóng</t>
  </si>
  <si>
    <t>https://drive.google.com/open?id=1UmpDzSd20M8gUsMnfKOH1AIj5hWrTfDT</t>
  </si>
  <si>
    <t xml:space="preserve">giao máy qua q10 cho a triều </t>
  </si>
  <si>
    <t>Anh Thanh Trí</t>
  </si>
  <si>
    <t>0909335146</t>
  </si>
  <si>
    <t>https://drive.google.com/open?id=1Ckpm0TQkhaAbGeclxgGqP8v1vbJ6LkL1, https://drive.google.com/open?id=1UbblFln-8GxkzWNsIf5Vmcf8Joyqw7e6, https://drive.google.com/open?id=1hoWCdpvhmVRAOhLzohF9StFoB2aJFb7b, https://drive.google.com/open?id=1skh3EU0pMkzLEmABGtLnnhIWo7tbnHnv</t>
  </si>
  <si>
    <t>KH CK</t>
  </si>
  <si>
    <t>chị Huyền</t>
  </si>
  <si>
    <t>0913790890</t>
  </si>
  <si>
    <t>https://drive.google.com/open?id=1KNqbdq7SBJhduprk-m-U-f5yoc1K3m8N, https://drive.google.com/open?id=1CJTxpvOUnFSfjj7qvtPQGcW7FasNZgBN, https://drive.google.com/open?id=18dMSCNWw9qHY8pKmJAaLUEogyJR4FExE, https://drive.google.com/open?id=1QT9JXgHMFbqpoC-kqkpu3n8a-GbX8Xh-, https://drive.google.com/open?id=1q9OMSEBbu43urfub_K6W6wxSgjlILAl4</t>
  </si>
  <si>
    <t>CK</t>
  </si>
  <si>
    <t>C thảo</t>
  </si>
  <si>
    <t>0989895005</t>
  </si>
  <si>
    <t xml:space="preserve">Lõi pgp cto ro 5640 </t>
  </si>
  <si>
    <t>https://drive.google.com/open?id=1qDZt55-u1ss9REJUfXxlozxcyKBNKqRg, https://drive.google.com/open?id=12PSBFWMzV9u2YklKtZdtnF_DdJ1ZgQsh, https://drive.google.com/open?id=1V2W_EUBoVR0DzTKW9UimM6n2hNmGukQc, https://drive.google.com/open?id=1wpkLbh4zmhbRB7blsyiAZpBsznH3r1-v, https://drive.google.com/open?id=1fHR5WfIiKVkTZHPAGfIVob2SG3KHWmIN</t>
  </si>
  <si>
    <t>Anh Quân</t>
  </si>
  <si>
    <t>0937770797</t>
  </si>
  <si>
    <t>https://drive.google.com/open?id=1alOm3MIdZ9wQ2q319kFjnImYZtimcpqi, https://drive.google.com/open?id=1hleP0Bn5AVLTqVzizh40x80Fgm6Kwo2L, https://drive.google.com/open?id=1E-0FT3DcQPcSynOSVbYOIz7D3NvIzfsv, https://drive.google.com/open?id=1F2t3Fd1L-uZAtVLfRitrYjECjM2UP-oi, https://drive.google.com/open?id=1HGt038tO8kAWvM3nCxDlU7rARJi4F5IV</t>
  </si>
  <si>
    <t xml:space="preserve"> anh Duy Anh</t>
  </si>
  <si>
    <t>0768665147</t>
  </si>
  <si>
    <t>UR61096</t>
  </si>
  <si>
    <t>https://drive.google.com/open?id=1V0aUegPsS0nwK_w3EpAhuOkpsVYQlYwD, https://drive.google.com/open?id=15eX74c1W2Yycv_gn4YDA9VdknMxzNt98, https://drive.google.com/open?id=1epPxOyB0JD0IH7K3yvESxytvuHq2VO2m, https://drive.google.com/open?id=1DDnRmvV3xv63qlEJ7tnAgAEvcnPiJ1RT, https://drive.google.com/open?id=1iTLDhouv7-i4Pp1JgM0Rv1Fczi4FnDI-</t>
  </si>
  <si>
    <t>Giao Hàng lắp đặt Tặng PCB KH CK</t>
  </si>
  <si>
    <t>Thảo My</t>
  </si>
  <si>
    <t>0937287434</t>
  </si>
  <si>
    <t>Pgp + Cto 5840</t>
  </si>
  <si>
    <t>https://drive.google.com/open?id=1j3z0IHRuGh8TX9Svyg35gr1wETgTVJte, https://drive.google.com/open?id=1-uOE-wfG8LlE-fOuLCMh90m3o-cn5vT9, https://drive.google.com/open?id=1CUGFWatS1MGoU1eKyOoc0pmEyXS6QPpx, https://drive.google.com/open?id=15A-jrQ-d95NCGMXq-MRZSiJfn8OT53hb, https://drive.google.com/open?id=1hxnzE1DPMXvk8SU4Ct5xxYq0TjIWNyRR</t>
  </si>
  <si>
    <t>Máy hoạt động ổn định</t>
  </si>
  <si>
    <t>Bích ngân</t>
  </si>
  <si>
    <t>0986983939</t>
  </si>
  <si>
    <t>https://drive.google.com/open?id=1blv4fNXhBjJRLpTkqDByQGAZwL-OpZal, https://drive.google.com/open?id=1lM6pPV_PYL4skX4EqfvFr4XSRvMQsNwb</t>
  </si>
  <si>
    <t>Máy 61096+ máy 5776</t>
  </si>
  <si>
    <t>https://drive.google.com/open?id=1KNoMc09wSEYyQU-3u75fD5hzToABf-Dp, https://drive.google.com/open?id=13b8xzjgvPCpyclvFVN9Rni1uNcQ4noDF</t>
  </si>
  <si>
    <t>Đã giao hàng và thanh toán iền sip 100k</t>
  </si>
  <si>
    <t>Máy 61096</t>
  </si>
  <si>
    <t>https://drive.google.com/open?id=1uIFgIoNimKQxPNbljEZrHXr8BZF0yab3, https://drive.google.com/open?id=1eJ7WYuw7FZYhMLdmlrh56K6NySCmWVmM</t>
  </si>
  <si>
    <t>Đã giao cho khách</t>
  </si>
  <si>
    <t>Chi Trang</t>
  </si>
  <si>
    <t>0982362529</t>
  </si>
  <si>
    <t>https://drive.google.com/open?id=1sZMhuOKI2f1twPnAz5bwOhgUqAKEsul1, https://drive.google.com/open?id=1vw0XjkJy85KTxJAnBeBerdSBnWhD4jAH</t>
  </si>
  <si>
    <t>A tùng bingbing</t>
  </si>
  <si>
    <t>0374073333</t>
  </si>
  <si>
    <t>https://drive.google.com/open?id=1dO185oStWS15_GUucUPF2rJPLUoToyZP, https://drive.google.com/open?id=1NwOCAeeuIzyTB1CSRi4TDX9N27ObaxDy</t>
  </si>
  <si>
    <t>Thu thuỷ</t>
  </si>
  <si>
    <t>0904530000</t>
  </si>
  <si>
    <t>https://drive.google.com/open?id=1aQNHGRro7J9NGqoUE0cmgAF2-2A1G9Ys, https://drive.google.com/open?id=1hO3lC5hYVQnugpiqVTvA9uHseQWkJ6Tj</t>
  </si>
  <si>
    <t>Tưởng văn chúc</t>
  </si>
  <si>
    <t>0934513303</t>
  </si>
  <si>
    <t>https://drive.google.com/open?id=1Cn1R8WYx8TFQs89qtShtZtiWiu_7XGoJ, https://drive.google.com/open?id=1d1NSb_P6WKKiNoj9oEhdHwbE3WNUIRdr</t>
  </si>
  <si>
    <t>Lê hoàng</t>
  </si>
  <si>
    <t>0912118887</t>
  </si>
  <si>
    <t>https://drive.google.com/open?id=1D8XFKVEmJFug3bPwWkL9C4yrbM64epjY, https://drive.google.com/open?id=16dhVovYNzkmuTyJ7qIZvYYY0IqvlFhrJ</t>
  </si>
  <si>
    <t>Kim Phượng</t>
  </si>
  <si>
    <t>https://drive.google.com/open?id=1GKKVk2Z51Tg4vqZFf6NttqRKg75rZsAm, https://drive.google.com/open?id=1V9QMNHrGhM1JUDf6UsiV7kIh1trvbjW1, https://drive.google.com/open?id=1T3D3vv2k1zoZjeRsTYRm9JOts0alcmOj, https://drive.google.com/open?id=1AlX-7io7Ad7XWQIYuQ0dUcMBNYoX0sUp</t>
  </si>
  <si>
    <t>chỉnh vòi ra mặt đá</t>
  </si>
  <si>
    <t>https://drive.google.com/open?id=1EAnjfeLsXbDOfLmsL_SRSNvbb9Z20uc7, https://drive.google.com/open?id=1gM4z1IkluOPapZ8mQBo5Ghgbv6AJGE1z, https://drive.google.com/open?id=1at3lTX2iptyAb8cCFcM1KHq_m6RWr3yI, https://drive.google.com/open?id=1YerO-7lQLpuGNi1IkVc9G0jz77CfiAbU, https://drive.google.com/open?id=1Y-uCLHkBo8gK1LAkpzVIIkOsoBKt9_4x</t>
  </si>
  <si>
    <t>Thay biến áp</t>
  </si>
  <si>
    <t>chị Mai</t>
  </si>
  <si>
    <t>0933530066</t>
  </si>
  <si>
    <t>pgp cto 5640</t>
  </si>
  <si>
    <t>Lắp đặt lại máy</t>
  </si>
  <si>
    <t>https://drive.google.com/open?id=1p-70cXe2J05OtGH3g4qNjYlRbK4UVeoI, https://drive.google.com/open?id=1svB7tSwt88QlfaS9Z9u_C6knzJ20tDFk, https://drive.google.com/open?id=1r9U1KV_KsvZlckmk4bzhE1_cGj9wuTWN, https://drive.google.com/open?id=1dW--AI6cd2LXVxz2MIYtnEUv2r4XU0Du, https://drive.google.com/open?id=1k1ya90Bv4ZeETONQhPmsrYbc7kOqPFLH</t>
  </si>
  <si>
    <t>lắp đặt lại máy+ thay lõi lọc pgp cto 5640</t>
  </si>
  <si>
    <t>anh Tài ( Logan Nguyễn)</t>
  </si>
  <si>
    <t>0978002460</t>
  </si>
  <si>
    <t>https://drive.google.com/open?id=1FnwHZ3RHhbBTDkOJ2p20bzbXKQA_W2nA, https://drive.google.com/open?id=1kUXWucPeWIMGjD_BXpnJBob-dwvw78xL, https://drive.google.com/open?id=1RfAHrf4r6YgEVFbswOVUPg7Umo2g1J4I, https://drive.google.com/open?id=1L2FpTVXIFqdOJ7mMFAHETI5mWJi8WFff, https://drive.google.com/open?id=19ANrfIimk_X8ov_JjpUDrK0rl0nB1vEW</t>
  </si>
  <si>
    <t>giao hàng lắp đặt</t>
  </si>
  <si>
    <t>Hằng Vũ</t>
  </si>
  <si>
    <t>0389791668</t>
  </si>
  <si>
    <t>https://drive.google.com/open?id=17zXr1mQnPQB1Admg1Y_BLrXV0VSoGodt, https://drive.google.com/open?id=1Hhw2suCLkWk6VEVHGS5IxyUp-pnuLxiy, https://drive.google.com/open?id=1kl4jLZckAaJvpYWnaINXDvei7kt0Y6jF, https://drive.google.com/open?id=1eTgh6uBJ0vop9Do-l9y0H6DByTehB_Gp, https://drive.google.com/open?id=1FUPDBFbVWMZ8Qzy9m9_K0D_H4vaVUbKu</t>
  </si>
  <si>
    <t>50km</t>
  </si>
  <si>
    <t xml:space="preserve">Chị Thúy </t>
  </si>
  <si>
    <t>0399166144</t>
  </si>
  <si>
    <t>https://drive.google.com/open?id=1i6ABAXwV1M7_3vWOxkknBn6U6cAViFDN, https://drive.google.com/open?id=1c4nY7x6wj-_u28dj97iDzsKtzqCjyg80, https://drive.google.com/open?id=17nM7fAVLYZt5STKLWA95ulx_umI-4i3l, https://drive.google.com/open?id=1u33BQOsrA-Ko7_KKMI-qKrSJ9osM6PFD, https://drive.google.com/open?id=19MJRaHNeQmUewsoino4SaoWSuleTSHD1</t>
  </si>
  <si>
    <t>Ck. Phí linh kiện phát sinh 70k. Tặng khách 1 lõi PCB</t>
  </si>
  <si>
    <t xml:space="preserve">Đăng thị le hang </t>
  </si>
  <si>
    <t>0933848019</t>
  </si>
  <si>
    <t>https://drive.google.com/open?id=14p6_IEaqby6GV6OEfCOhjbP4_E5SNN3u, https://drive.google.com/open?id=1PEdili3PxKtmEBObiBe41o8Myb5ptssC, https://drive.google.com/open?id=1Aj9s3kVVy4jCMhNvyGAExI0x2kd1oOmP, https://drive.google.com/open?id=1O3VlU1dRHvBnej1TfmrN8VyxohVriddN, https://drive.google.com/open?id=1OKp610sOr6WTw0yw8wRuj7QxRIsZd4lm</t>
  </si>
  <si>
    <t>25km</t>
  </si>
  <si>
    <t>Anh bảo</t>
  </si>
  <si>
    <t>0778877792</t>
  </si>
  <si>
    <t>Lõi pgp cto 5440</t>
  </si>
  <si>
    <t>https://drive.google.com/open?id=1BVYOuskvu2WPjN4rKrkd_PDVhtNdDEmz, https://drive.google.com/open?id=14nm24YwFI5iySzvGKuMULGXZKe9EIhmz, https://drive.google.com/open?id=1ZZ4RfLv-EDJEvxuVFzYtl7yhxexWvLQ_, https://drive.google.com/open?id=1b-EVr4wusIAZx79A-7XHk87h5kqoiN9c, https://drive.google.com/open?id=1ZMMHisZuLnd7nkO4dwKdmV5vVa3qmmO_</t>
  </si>
  <si>
    <t xml:space="preserve">Chị Trà My </t>
  </si>
  <si>
    <t>0336450696</t>
  </si>
  <si>
    <t>https://drive.google.com/open?id=1qApxBP9rJjDVtuqwfzs75q-c_Z6zn-l0, https://drive.google.com/open?id=1rxmrwd5FjOXgFs0OLej_ZskFz4-PrBrg, https://drive.google.com/open?id=1mC68Fm2sLP94eW6s8ukoknqyprZZsonv, https://drive.google.com/open?id=1IDv9Xbby27e9EvYqWLHb6DX2tMf5lm1u, https://drive.google.com/open?id=1BodFGcyx3jnLkMuHhroozUE2DLrjaONe</t>
  </si>
  <si>
    <t xml:space="preserve">C Dung </t>
  </si>
  <si>
    <t>090 3949389</t>
  </si>
  <si>
    <t>Máy nước nóng</t>
  </si>
  <si>
    <r>
      <rPr/>
      <t xml:space="preserve">https://drive.google.com/open?id=19MyJR1puiO9dJ5fSdFcneNUaKyDbBMg6, https://drive.google.com/open?id=1JRLJnOO-JOvjUIM90Y7jqUJuJEsfUBJR, https://drive.google.com/open?id=1E1tef-vwnZP6htT9FWEDAQOCfgtEII3L, https://drive.google.com/open?id=1hSPjT-VM4ljvoM9AEXN7I1K8UHfWTY7Z, </t>
    </r>
    <r>
      <rPr>
        <color rgb="FF1155CC"/>
        <u/>
      </rPr>
      <t>https://drive.google.com/open?id=1Wg4GVbghwsR2bQ2oWymInkd-birnBR29</t>
    </r>
  </si>
  <si>
    <t>Khách thanh toán bằng tài khoản cty nên mai mới thanh toán đc</t>
  </si>
  <si>
    <t>Chị Quyên</t>
  </si>
  <si>
    <t>0367762848</t>
  </si>
  <si>
    <t>Pgp + cto 5640</t>
  </si>
  <si>
    <t>https://drive.google.com/open?id=1UGsy3KBJFPro-TsVwE_Cgm4um0DVBPrb, https://drive.google.com/open?id=1sfJ5xFMJZ7IKIsyRdXCQkgB6sowe6JHo, https://drive.google.com/open?id=1r2qm0ZPXjXQV-f3X5AZFVDmmUB119fYI, https://drive.google.com/open?id=1FU1mY2nC5JZL92KuQ4zMWrdqeCQiENGr, https://drive.google.com/open?id=19dWxwn79Ww3NjCNgxwYdw-l5d9QH-ALL</t>
  </si>
  <si>
    <t>Máy hoạt động bình thường</t>
  </si>
  <si>
    <t>https://drive.google.com/open?id=1W5caFJGeSC68Wijs3IfAvNU3wRh128rG, https://drive.google.com/open?id=1kjIqdP8HhDLUoErCFcl1GFkdIASOQ9gC</t>
  </si>
  <si>
    <t xml:space="preserve">Setup quầy hàng chương trình - Công Viên Gia Định </t>
  </si>
  <si>
    <t>Diệu hiền</t>
  </si>
  <si>
    <t>0932019668</t>
  </si>
  <si>
    <t>https://drive.google.com/open?id=12FYKa2kTNPklMwc3ANJjg8g5ar8Zy_4e</t>
  </si>
  <si>
    <t>Mc hoàng oanh</t>
  </si>
  <si>
    <t>0909498918</t>
  </si>
  <si>
    <t>https://drive.google.com/open?id=108Ox40Zfp-OuCYkgQ0btVF_HlbQdggJv, https://drive.google.com/open?id=1fJ_s1oPFInekP_EXwO6A1CSpEy9YWsCI</t>
  </si>
  <si>
    <t>Duy Minh</t>
  </si>
  <si>
    <t>0914393777</t>
  </si>
  <si>
    <t>Setup</t>
  </si>
  <si>
    <t>https://drive.google.com/open?id=10zuVRaAA825z4LNsJ_SQBxmtvst_NraF, https://drive.google.com/open?id=1uKW4t3-9Bio-rn8wpmJndv2Lhv9vQ8yj, https://drive.google.com/open?id=1sEaGEPFxQOj0VR0rg5faxj6nB4SCCXJC, https://drive.google.com/open?id=1nYZ_XgySk45aEmLnrW68hsGRy4BkSFiB, https://drive.google.com/open?id=1UD4ab5Sc58GgSutKzyKyfcTatOj3c9z_</t>
  </si>
  <si>
    <t>Chương trình</t>
  </si>
  <si>
    <t>Xx</t>
  </si>
  <si>
    <t xml:space="preserve">Máy nóng </t>
  </si>
  <si>
    <t>https://drive.google.com/open?id=18RrKu8aYwWr4MAqrLxp22315xRMJzfr3, https://drive.google.com/open?id=19JONmUoHiUZr5Q8ZG-T_aY3SdY8GFtUr</t>
  </si>
  <si>
    <t>Giao máy ra chành xe</t>
  </si>
  <si>
    <t>Diệu lâm</t>
  </si>
  <si>
    <t>https://drive.google.com/open?id=1sI8l7suVWn0OjJM9p9AJnUUEV_O-xHAv, https://drive.google.com/open?id=1BqzlvDNvtIxEdhsevxTrNRnpIVX_mer7</t>
  </si>
  <si>
    <t>Giao máy và lắp với a tuấn ở Q7 chung cư đức khải</t>
  </si>
  <si>
    <t>Máy nings</t>
  </si>
  <si>
    <t>https://drive.google.com/open?id=1Wp4BIDXK7sGdwYBJb-XrFNXobsUNLGL_</t>
  </si>
  <si>
    <t>Giao máy qua chành xe quận 3 lê văn sỹ</t>
  </si>
  <si>
    <r>
      <rPr/>
      <t xml:space="preserve">https://drive.google.com/open?id=1tj1PsXUh7fCcCivzI7wVDB7MZHBu8a9a, https://drive.google.com/open?id=1WjLT2_PytBvmkkassW3_dyz-w-hBZA2E, https://drive.google.com/open?id=1HPAaovwtIRrRbzn4fSCZkMNBOhrO6P0R, https://drive.google.com/open?id=10v30j71IiMJnGWN-oZHFodrTRPtnehMK, </t>
    </r>
    <r>
      <rPr>
        <color rgb="FF1155CC"/>
        <u/>
      </rPr>
      <t>https://drive.google.com/open?id=1pMZ_yXxNnjmHO0ilA6LDqcijkjlmSU68</t>
    </r>
  </si>
  <si>
    <t>9km</t>
  </si>
  <si>
    <t>0931897180</t>
  </si>
  <si>
    <t>https://drive.google.com/open?id=1ytm2Xl6yWx4P-s56yfzgnw0qAZ-z-TuP, https://drive.google.com/open?id=1racfveblMgh3jMPAJVNLvjKhKawO6QBn, https://drive.google.com/open?id=1b7ATq8hGZ5zCtD8EfJmWAGDxl2jT-uww, https://drive.google.com/open?id=1ou5XoTyeiCXOR6ng6mUHphcA-ejb498j, https://drive.google.com/open?id=16txZRcCPciCn2a7pUKYmIZ8gfy4ij13i</t>
  </si>
  <si>
    <t xml:space="preserve">Nước yếu dưới 10psi, cần lắp đặt bơm tăng áp. Tặng cốc SF u model mới </t>
  </si>
  <si>
    <t>Phan xuân hà</t>
  </si>
  <si>
    <t>0975543964</t>
  </si>
  <si>
    <t>https://drive.google.com/open?id=1DDy-uLA7f2mQRHZekkrxpO8sBFp3dUNB, https://drive.google.com/open?id=1J2OXfk7Dp-cIsPvK3U7UWnofWPqVRo1i</t>
  </si>
  <si>
    <t>Cường đặng</t>
  </si>
  <si>
    <t>0913345382</t>
  </si>
  <si>
    <t>https://drive.google.com/open?id=1wFqQ-J4ozqqlHeewY66k7ROkVD2RmZYg, https://drive.google.com/open?id=1yjAh35JmG4vdpd6C2K_rnpDP-xdLCrOx</t>
  </si>
  <si>
    <t>Lê công tiệp</t>
  </si>
  <si>
    <t>0353665525</t>
  </si>
  <si>
    <t>Cto pgp 5440+ 5840</t>
  </si>
  <si>
    <t>https://drive.google.com/open?id=1Q6ksLlqDdCADoYWiVgF8bIaHmO15ZCQE, https://drive.google.com/open?id=1OYY6NwQk0tYK11VcBlDRGRp2h0XEL0xB, https://drive.google.com/open?id=1mtEmHExhauhYhUvbi_-m6yrubha3ATWF</t>
  </si>
  <si>
    <t>Đã trả tiền cước 80k</t>
  </si>
  <si>
    <t>0977953766</t>
  </si>
  <si>
    <t>Ro 5840</t>
  </si>
  <si>
    <t>https://drive.google.com/open?id=1KEiRXHn76whMu0VTSvxAoAu6lfu_9bGs, https://drive.google.com/open?id=1-tj0xOaEHtyTOWTu6cCDLBtCDt3NzyRf</t>
  </si>
  <si>
    <t>Đã giao hàng</t>
  </si>
  <si>
    <t>https://drive.google.com/open?id=1v_IlHkJ3XFv2Wf0_M0ZEvS48sOFzrDQO, https://drive.google.com/open?id=1fX8_u4kCxsXbYp6KuzXY_yFd3CNUzOvS</t>
  </si>
  <si>
    <t>Giao hàng km k thu tiền</t>
  </si>
  <si>
    <t>A phúc</t>
  </si>
  <si>
    <t>0976389289</t>
  </si>
  <si>
    <t>Máy 3626</t>
  </si>
  <si>
    <t>https://drive.google.com/open?id=1RkterofcxYKQFwKgD2WNNu_nuei48ufy, https://drive.google.com/open?id=11XaWYhktoYrkpzNY_SBA5NYUz_JcHQ6E</t>
  </si>
  <si>
    <t xml:space="preserve">Anh MiKe Nguyên </t>
  </si>
  <si>
    <t>0985981193</t>
  </si>
  <si>
    <t>Delica ur5640</t>
  </si>
  <si>
    <t>https://drive.google.com/open?id=1zulOE19I-GTleMpQEgUHg0siV2RZVzID, https://drive.google.com/open?id=1eQDpdjTJ2FJDA74GRPIm7CFs9TTv9jJv, https://drive.google.com/open?id=1dCXIdz_-p5ZVGVP4BZKdS8dlRBkJwrkq, https://drive.google.com/open?id=1wcPEqf7NOW71lPEwlercMGxycIxr-RA9, https://drive.google.com/open?id=1_Koe9vMcXD2xHdhnBSYJ8wBs-GWOnXzu</t>
  </si>
  <si>
    <t>0909606815</t>
  </si>
  <si>
    <t>Pgp * Cto 5840</t>
  </si>
  <si>
    <r>
      <rPr/>
      <t xml:space="preserve">https://drive.google.com/open?id=1w6aBHltk6AaR45QTQDGfaHElhp_dtJLN, https://drive.google.com/open?id=1iRMOjUQiEFpFA5byTcc0GkPZnUzYEhFx, https://drive.google.com/open?id=1mgpawLXKuEm71PIfHK1E8Gu_i0wksMUQ, https://drive.google.com/open?id=19xUQ_QhmWAebBOcrgSYEqk-sT_18Cdhe, </t>
    </r>
    <r>
      <rPr>
        <color rgb="FF1155CC"/>
        <u/>
      </rPr>
      <t>https://drive.google.com/open?id=1Rf0LojywcFPNt7X32quDFRm_6W2tr3Ri</t>
    </r>
  </si>
  <si>
    <t>0908161796</t>
  </si>
  <si>
    <t xml:space="preserve">Pgp cto 5440 </t>
  </si>
  <si>
    <t>https://drive.google.com/open?id=1jvATW22MVG3ZHVpuZYrL4p0RdPhzz3Qv, https://drive.google.com/open?id=1Vb8YHPS3qAbKpi1EJduvJEkmvUgrhN-7, https://drive.google.com/open?id=1vCacIensjEBM8ckoj6uAiCeMeXgaBiIH, https://drive.google.com/open?id=1mDGqJbyAHxE-plOcKOBhYDEWeUrpPkEP, https://drive.google.com/open?id=1CUHB3PyzxoAF_TQTwBrh5YmJXIqkIQke</t>
  </si>
  <si>
    <t xml:space="preserve">Duy anh </t>
  </si>
  <si>
    <t>0934575495</t>
  </si>
  <si>
    <t>Pgp cto ro5840</t>
  </si>
  <si>
    <t>https://drive.google.com/open?id=1Pv5jNqPKa60n14RT_KVo3WtShTAbq1AR, https://drive.google.com/open?id=1D64_QjpGeBrNwaUBcaxPtg7mIRfEBfih, https://drive.google.com/open?id=1OAOlOFxUh--h2jLSye6gWrPrw4a60WCn, https://drive.google.com/open?id=1rAbPmJDz_F73pQkQJkrbzQP6BCF11gDa, https://drive.google.com/open?id=1oI08KXSPb0AxRj--IxX8Ffd_7j483Wz1</t>
  </si>
  <si>
    <t>0932772388</t>
  </si>
  <si>
    <t>Máy ur61096h</t>
  </si>
  <si>
    <t>https://drive.google.com/open?id=1ChwDrputwj4C_YR9wKlDDitwrRgj60SW, https://drive.google.com/open?id=15TbOO0JJwxd2NRrDXmZJYFZwfqnBKYfm, https://drive.google.com/open?id=12NIuc95qT_PM_HbbeQz_5IiqAmXn-tYy, https://drive.google.com/open?id=1xl55kfjqcMOoa0lF5qB9Z0879bvZLFGk, https://drive.google.com/open?id=1q_yrvcr0AB5YsXHleaBtVRT7nsZ6SChr</t>
  </si>
  <si>
    <t>Lắp máy moi</t>
  </si>
  <si>
    <t>Trần Quốc Bình</t>
  </si>
  <si>
    <t>0905846681</t>
  </si>
  <si>
    <t>https://drive.google.com/open?id=1bU77BL7NLxEDwyjMCJiHTrXZkDVQNy4P, https://drive.google.com/open?id=1kqYhfpbwyurZHREJS1-nvELOymIZdOZ0, https://drive.google.com/open?id=11T85qjxGetxvU-eJWoCd_hU4tbBnE9rq, https://drive.google.com/open?id=1-OCt81K9eFfI6qkRLFrU_t1HdJoKHdce, https://drive.google.com/open?id=1_V5RFUzhgr2oP7qnsIAaKxtw1lP8Y5Rd</t>
  </si>
  <si>
    <t>Bích Hạnh</t>
  </si>
  <si>
    <t>0904781588</t>
  </si>
  <si>
    <t>https://drive.google.com/open?id=1aALyl38vZvGvrlF9AnecIIPRuwXfMBCk, https://drive.google.com/open?id=1lEl_UxIRY1aNbzZyA7BnVmhNv37ZyP3o, https://drive.google.com/open?id=1kUz7UXgYqCbLS442YPnU7VGEp-Oh7lFe, https://drive.google.com/open?id=1HNIP743C30NPvc43PV_BnVDxrODsYvWM, https://drive.google.com/open?id=1M4cSbnXf8T84dTPLYFuln_YZhKYgtyI7</t>
  </si>
  <si>
    <t>Anh tâm</t>
  </si>
  <si>
    <r>
      <rPr>
        <color rgb="FF1155CC"/>
        <u/>
      </rPr>
      <t>https://drive.google.com/open?id=1uIq0FO-jjYiMdg-E1zztZZn0bnKqsiqA</t>
    </r>
    <r>
      <rPr/>
      <t>, https://drive.google.com/open?id=10Om1UnbS8BgBcZleQf2DQtlx4pQhar38, https://drive.google.com/open?id=12tG72E3cHY7cT0jiQxgY7AXHLKvBW-iR, https://drive.google.com/open?id=1QEqEIcSDEhF7mFeS-ZOizeK7yZvfTkMP, https://drive.google.com/open?id=1UG1SJ1LZrwDTwQKIZRRsEo-9n9gEHCFt</t>
    </r>
  </si>
  <si>
    <t>Đã giao hàng và lắp máy thành công</t>
  </si>
  <si>
    <t>anh Chương</t>
  </si>
  <si>
    <t>0915393257</t>
  </si>
  <si>
    <t>https://drive.google.com/open?id=1wAtF_sksx9IiHa0DXRQxJylCXW9ww7u7, https://drive.google.com/open?id=1Ryoxkm8g1uxfUJgtF5pCrOrZF-u8Csyx, https://drive.google.com/open?id=1wVQuv8ck29P7ZUXDD3PW1TuyyLUnb23B, https://drive.google.com/open?id=1jN4Aq0rrpDJtrh8Gea4DEEbSkRgR-LOw, https://drive.google.com/open?id=1s9FlXKfpARx1StAaZfj4sZuaozpE0kS8</t>
  </si>
  <si>
    <t>Giao Hàng lắp Đặt 60KM</t>
  </si>
  <si>
    <t>Luu ly</t>
  </si>
  <si>
    <t>0979035840</t>
  </si>
  <si>
    <t>https://drive.google.com/open?id=1b4aCkxxGHcFO7jwbqqDQtyKCDaoOGP6R, https://drive.google.com/open?id=1xVXlA7FVE8qZrx5-oq_aEmag_vQ1bwhi, https://drive.google.com/open?id=1Y9e2mgdW9VeY6QHbTwcTBwlGiWPyqlK2, https://drive.google.com/open?id=1pdfHDHjnoyu1wV99tzrHqr9WONWsxKjO</t>
  </si>
  <si>
    <t>Đã tt xong</t>
  </si>
  <si>
    <t xml:space="preserve">A Thuận </t>
  </si>
  <si>
    <t>0967014422</t>
  </si>
  <si>
    <t>May ur 61096h loi pcb</t>
  </si>
  <si>
    <t>https://drive.google.com/open?id=11Jx_LA09d3f1NcHns0KNAhT6ASXWR7Ix, https://drive.google.com/open?id=1eXnkm2DY6IZEa81P6GqQf4Iut6Cyn6UN, https://drive.google.com/open?id=1bhG_0yf5bkLv6g2hrKoxwU907Ca_J02R, https://drive.google.com/open?id=1RVeCUYn8Vv57WUlQSBjn9ceBz_8eAfVL, https://drive.google.com/open?id=1MIwZgT2Ku-u3ssELprbxefxluiWmTPAx</t>
  </si>
  <si>
    <t>Giao lap 61096</t>
  </si>
  <si>
    <t>Nguyễn Ngọc Yến</t>
  </si>
  <si>
    <t>0972111715</t>
  </si>
  <si>
    <t>https://drive.google.com/open?id=1QEh5UF6LeGd3KN8yzFQVUUjsB5-8UWmi, https://drive.google.com/open?id=1uBTxeGFYQjniDWR9DM1SFPjhVHQTnq6K, https://drive.google.com/open?id=1I1Ll5hc7WKBlumDJOdWQ_w0MMsYfR14F, https://drive.google.com/open?id=1RGDsryF19a4U-9TLVi-BptICmFtgGEhV</t>
  </si>
  <si>
    <t>Thay PGP CTO</t>
  </si>
  <si>
    <t>Đạt</t>
  </si>
  <si>
    <t>https://drive.google.com/open?id=1rOJuH-6uUmi1r8VMwKKiMDzRFUmvNShT</t>
  </si>
  <si>
    <t>Giao hàng ra bến xe miền đông - xe hữu khánh</t>
  </si>
  <si>
    <t>Quách Dương Quang</t>
  </si>
  <si>
    <t>090 6993122</t>
  </si>
  <si>
    <t>https://drive.google.com/open?id=1hPXUfSj9gmHqxvblrVvRT_vbrzxM3WAb, https://drive.google.com/open?id=1y_vobNcQNyVNWL8LVfEM7F8DgdMTompk, https://drive.google.com/open?id=1x4KDRMiXtpFdAOgNP9lfZBIwC2n1VZF6, https://drive.google.com/open?id=1MdK-BygyIUfLx0DUOK7_fTHmYaVpWDYV, https://drive.google.com/open?id=1jGyM2mW2xA62oh0PiRyohbk20kHi_XFD</t>
  </si>
  <si>
    <t>098 9051699</t>
  </si>
  <si>
    <t>https://drive.google.com/open?id=1wLUY_3-SzMCHXiOd1XtyTvkD74WcxpI0, https://drive.google.com/open?id=1xck1t9Cokx0GbJ8Ut4Aejt2IME-91uDf, https://drive.google.com/open?id=1DkXA5bbtDm1FnhAuu7ZOidUh3NjWTzZl, https://drive.google.com/open?id=1NoDjA6ckopYTrsbIKN7K1mB5RoFfUckz, https://drive.google.com/open?id=1ARpniNjJMCbG79l5NFe3-bY40vHHVHR1</t>
  </si>
  <si>
    <t xml:space="preserve">Chị Thanh Nga </t>
  </si>
  <si>
    <t>0984618686</t>
  </si>
  <si>
    <t>Delica ur5440</t>
  </si>
  <si>
    <t>https://drive.google.com/open?id=1b8XV8174e6VPEqZj5W-44iNTRaA1x-Ph, https://drive.google.com/open?id=1_B68Gh8o5gNx5i6vWFMvPWf-yje102EX, https://drive.google.com/open?id=1U0AArx2vYhhIIMXb1N2DsHvCbg6o0Khl, https://drive.google.com/open?id=1Ul2SuKNQJ8fRVmWHl90Vu8eogq6BBNsf, https://drive.google.com/open?id=1waQoJiMU9RB8McR8JnYeC1bzebfTHK4A</t>
  </si>
  <si>
    <t>17km</t>
  </si>
  <si>
    <t>0934588836</t>
  </si>
  <si>
    <t>https://drive.google.com/open?id=1JsvHfTKnZwKK00VDxmHIYCioJH0SC4S1, https://drive.google.com/open?id=1_qAJf1bXvHjJzZvH6abPjiXBPlIsvvQ6</t>
  </si>
  <si>
    <t>A chiểu</t>
  </si>
  <si>
    <t>0869852368</t>
  </si>
  <si>
    <t>https://drive.google.com/open?id=1dH5D_Mtwmtj6wBzRlPw81ZFFRDQveAkf, https://drive.google.com/open?id=19j1OXfi6FSwBn0fQ6V2l2GMnIDlQXjPf</t>
  </si>
  <si>
    <t>Phạm văn nam</t>
  </si>
  <si>
    <t>0868710999</t>
  </si>
  <si>
    <t>https://drive.google.com/open?id=10m4dJQR5QAh9fBiup8c0UXd_psVYcYR-, https://drive.google.com/open?id=1w_vo7Exot_nBexOL1d_qCjlxbYJqBXOz</t>
  </si>
  <si>
    <t>A đạt</t>
  </si>
  <si>
    <t>0912843734</t>
  </si>
  <si>
    <t>Nam Định</t>
  </si>
  <si>
    <t>https://drive.google.com/open?id=1kWwZc99D4Gl1zXLaPAUXKJqx0Rf0nak-, https://drive.google.com/open?id=1QkWKO0aJTCmcxlGzq4SkMSIl7k03WwlP</t>
  </si>
  <si>
    <t xml:space="preserve">C huyền </t>
  </si>
  <si>
    <t>0919695665</t>
  </si>
  <si>
    <t>https://drive.google.com/open?id=1G1cF71e9uhXnd0-4y4iSNG-IX-K3SNk0, https://drive.google.com/open?id=1GF_OpG44Bbv4TmXIMVGzpT6BSHk_2Z3N, https://drive.google.com/open?id=1_UHve8-T1FxRG3PqCVblSh-qw4ig3LoK, https://drive.google.com/open?id=1Gh_YflttNOEN48ALaAz0L-c9qXk_qJRA, https://drive.google.com/open?id=1HBTzNMmCZSvAQh-Gq32AIXdbeeOkivNB</t>
  </si>
  <si>
    <t xml:space="preserve">C hiếu </t>
  </si>
  <si>
    <t>0979340048</t>
  </si>
  <si>
    <r>
      <rPr/>
      <t xml:space="preserve">https://drive.google.com/open?id=1HGxd9TgsNvQRbNEuHMz-ojzd2Jfi2Dqw, https://drive.google.com/open?id=1Q73Gtv9TDyKKGwChodOJsG2JoszjQlTl, https://drive.google.com/open?id=1ky_CraBakM9hDFTgbYQ3Q_ZSXaM5z-xB, https://drive.google.com/open?id=1JtPAS5vPqlXo2HrZvT7iXIosXl5WiVw0, </t>
    </r>
    <r>
      <rPr>
        <color rgb="FF1155CC"/>
        <u/>
      </rPr>
      <t>https://drive.google.com/open?id=1ZuYQMdQqqnvvlUFMbuPExvCv6rLQkfWd</t>
    </r>
  </si>
  <si>
    <t>Tm</t>
  </si>
  <si>
    <t>C khuê</t>
  </si>
  <si>
    <t>0707270975</t>
  </si>
  <si>
    <t>Máy ur5676</t>
  </si>
  <si>
    <t>https://drive.google.com/open?id=1VatElyqFhNNe_t11K4Nv2tnoAQIkr3Cs, https://drive.google.com/open?id=1LdoXtqicxU72YnxMWpPy84cbVH5TrvyK, https://drive.google.com/open?id=1FITVxzc31A1gckZ1AnE5XqRHWJdA8l_9, https://drive.google.com/open?id=1mU_Fk1YfaBXkZ-hC1g17UKuVG9N812Z9, https://drive.google.com/open?id=1WXXal3WkAsYZ4uBo7RcVUjS8NZZmVko8</t>
  </si>
  <si>
    <t xml:space="preserve">Đoàn Ngọc toàn </t>
  </si>
  <si>
    <t>0912273388</t>
  </si>
  <si>
    <t>https://drive.google.com/open?id=1sOO_H3OSndFejyb2X4JNUlNWtPsgF-79, https://drive.google.com/open?id=1VmxZeuZ6P6dK-75jfqD9OO76WSAU95Ja, https://drive.google.com/open?id=16IFv7cWlSrp27nHOLolhKMTshTsVJP-5, https://drive.google.com/open?id=1eqPgJbcGezHL26DgnfhWyVkHpTJ1WUXk, https://drive.google.com/open?id=1-Td9TwcuXGCPiXaV35EuSx6yVrAM3sON</t>
  </si>
  <si>
    <t xml:space="preserve">10km </t>
  </si>
  <si>
    <t>C hồng</t>
  </si>
  <si>
    <t>0938558055</t>
  </si>
  <si>
    <t>https://drive.google.com/open?id=1hvyYlfn3l1xbBoC0MNYPMPc3J-ePJHfN, https://drive.google.com/open?id=1nGsR3Jc3LnAADIxx3rp213GT2VHF2qpc, https://drive.google.com/open?id=191YXWefvVLxWvy9_N5oKl_Q0Scy7xBc1, https://drive.google.com/open?id=1ipohGKW3zHtS1fCv2oAg4fb-9jDtEhHm, https://drive.google.com/open?id=1kfRa7V6nXYEGimnQxFtJN9ARmh-hS98C</t>
  </si>
  <si>
    <t>0947200528</t>
  </si>
  <si>
    <t>https://drive.google.com/open?id=1PRgWqD7zesWNCrB9w3_9-ubsxos35X9Y, https://drive.google.com/open?id=1iWijHM_pQB0ymAjx1q5pREv_nq8K3kgs</t>
  </si>
  <si>
    <t>A cảnh</t>
  </si>
  <si>
    <t>0985130239</t>
  </si>
  <si>
    <t>https://drive.google.com/open?id=1xfoKtQwqDRg4dnLV83sbEOe-4jD5ZYZx, https://drive.google.com/open?id=1Emcw6QET_kuUidWAZHLhX-l1nGUnWyo1</t>
  </si>
  <si>
    <t>Đã giao Cảnh trả tiền cước vc</t>
  </si>
  <si>
    <t>A Tiệp</t>
  </si>
  <si>
    <t>https://drive.google.com/open?id=1Cs6rsLbx0WH3ARheC4Bo3j0Bj8wzcijb, https://drive.google.com/open?id=1K1zgYUzHpzHCW2NSBEGFyXSr1mQ6-DLO</t>
  </si>
  <si>
    <t>Đã giao và tt cước vc 200k</t>
  </si>
  <si>
    <t>Ủ 61096 +5676</t>
  </si>
  <si>
    <t>https://drive.google.com/open?id=1Ww0gbPbGmo-LUFjxnpLR6QvnxIcseYX8, https://drive.google.com/open?id=1Bkk2X5JioW1i7Gy92FHSAm0WV4km51a9</t>
  </si>
  <si>
    <t>Đã giao thanh toán cước xe 450k</t>
  </si>
  <si>
    <t>Anh Luận</t>
  </si>
  <si>
    <t>0943990919</t>
  </si>
  <si>
    <t>https://drive.google.com/open?id=1Sip7ns1j58qgk1NHi-5lHMkqoMsoQcdb, https://drive.google.com/open?id=1US5vqE3j3PxdJwHfaVMOZ5wWKPnAZD4Q, https://drive.google.com/open?id=1pdHY07qu-465XNheKEUFtF9bvoiwwbru, https://drive.google.com/open?id=1i91zlkyUYCZoyR5RSd4k5u11f8PJujPk, https://drive.google.com/open?id=1LUbwlm0oI6HK6FntM7nG7nLfw_vVJYre</t>
  </si>
  <si>
    <t>Giao +Lắp đặt mới</t>
  </si>
  <si>
    <t>Đại lí hưng thịnh</t>
  </si>
  <si>
    <t>5840  7626. 3626</t>
  </si>
  <si>
    <t>https://drive.google.com/open?id=1UESibv6NFUMXulcZO0dT1pHvgORAEwJP, https://drive.google.com/open?id=1YLZ3ojoYHcc0oQmg5LzF1MNs5N-iC42Z, https://drive.google.com/open?id=1kwyP-9BeGbIA00o0QN1A_c41_Ihe0zoe</t>
  </si>
  <si>
    <t>Đã giao hàng trả cước xe 450k</t>
  </si>
  <si>
    <t xml:space="preserve">Chị Trang </t>
  </si>
  <si>
    <t>0862646986</t>
  </si>
  <si>
    <t>UR 5640</t>
  </si>
  <si>
    <t>https://drive.google.com/open?id=12Mi22hhZKxqQYX4WHLVx1CzMgVf0JLWS, https://drive.google.com/open?id=1nG8pmhjqaxIW0ViIG-nseP2EF-ckH5dr, https://drive.google.com/open?id=1Vx1fTTmgrMVVUqvzYGqLvMZXxdxBgBgK, https://drive.google.com/open?id=1Mj86kdIqUQezN0qiqcG1q7PSX1GhgyM0, https://drive.google.com/open?id=1C7P9gY9Iuo8PQViFoMQMtkBcM9bCEzU1</t>
  </si>
  <si>
    <t>Thay lõi thú 1tr243</t>
  </si>
  <si>
    <t>Hùng</t>
  </si>
  <si>
    <t>0903043599</t>
  </si>
  <si>
    <t>https://drive.google.com/open?id=1GI-q3zIo2wW8YiNgLJ2PMuaUfOc7F6Ib, https://drive.google.com/open?id=1UT1KMBrHGhrIV1Qrb0G21S3rjmTQpJrs, https://drive.google.com/open?id=1a4IT938n67NBtMn2fdPNBpmRWbXB3UkY, https://drive.google.com/open?id=1ZAmSBGtsO4LtJJmPoOaiC3iJZ7zkjVvV, https://drive.google.com/open?id=1lqBSjgukmpoRl-29F3pup8RMWev8txvp</t>
  </si>
  <si>
    <t>Chị Hanh</t>
  </si>
  <si>
    <t>081 6890269</t>
  </si>
  <si>
    <t>https://drive.google.com/open?id=1lVcIyBW64EGowUL2GnxqcNOc-9UIjP7U, https://drive.google.com/open?id=1UnQ00BP-z75vXp2zzJuBpixv8nMAkvv2, https://drive.google.com/open?id=1Q04jxApHxdLIM4jqUA01JH_3BsT14xxP, https://drive.google.com/open?id=1dG5a-vKVyk5RMiKk8gABuUmuvKZMA2rD, https://drive.google.com/open?id=1WWmnDR4_h70BqDy6GgaJRUu3T8GH7-1j</t>
  </si>
  <si>
    <t xml:space="preserve">Chị thư </t>
  </si>
  <si>
    <t>094 1259777</t>
  </si>
  <si>
    <t>https://drive.google.com/open?id=1WB2aUWDFu0eWpZWDmhnJUcWrxHtUjhyn, https://drive.google.com/open?id=1XWBnquFmcKiBGUgYg3pjcZ-Xb4vwBe31, https://drive.google.com/open?id=1sSjjCfWqRR4qPWiFpi_5o1CNjFqIJFNt, https://drive.google.com/open?id=1cOv2qOEzqX0w8VbXXgDTn7oEyy5ORj6e, https://drive.google.com/open?id=11E-qiUTdmGVSMcXp147-JIKuATeOgWjv</t>
  </si>
  <si>
    <t>B</t>
  </si>
  <si>
    <t>hoàng my</t>
  </si>
  <si>
    <t>0988801171</t>
  </si>
  <si>
    <t>Quảng Nam</t>
  </si>
  <si>
    <t>Máy nóng ur6190</t>
  </si>
  <si>
    <t>https://drive.google.com/open?id=12b7vT8Q1SbfTJ3K5d-bnoBx2Ix2serZH</t>
  </si>
  <si>
    <t>Nguyễn Ngọc Xuân</t>
  </si>
  <si>
    <t>0903532825</t>
  </si>
  <si>
    <t>Khánh Hòa</t>
  </si>
  <si>
    <t>https://drive.google.com/open?id=1q4P76LbXsbsSAL7Da7uy8hl23ly9br0A, https://drive.google.com/open?id=1oQHzajNbadOI7wLey6nc1pKNVOGHLHwo, https://drive.google.com/open?id=1E2r_R8Cif8UNKg0z2zHkl1-ei9ZHewmR, https://drive.google.com/open?id=1TNl9HcE5DU8VvqD8hHizeEgMizjX8oTS, https://drive.google.com/open?id=1jKXlZJ4eQzT64uuy6olV1pyXAF5LsH5s</t>
  </si>
  <si>
    <t>Nhà khách chưa hoàn thiện, ko có khách ở nhà</t>
  </si>
  <si>
    <t>Chị oanh</t>
  </si>
  <si>
    <t>0838086962</t>
  </si>
  <si>
    <t>https://drive.google.com/open?id=17uriNMH2FrFUEKXnHdjYI8oY--W89g-M, https://drive.google.com/open?id=1KBZiDCMt-K4qacT7UnVtRkPHca4AYLM3, https://drive.google.com/open?id=13kScfRTgGTkq7BFFKOXPo3DoR9RZlcv4, https://drive.google.com/open?id=1_PbjTXLo9rvsLtfrkHE-9j347O6Fva6l, https://drive.google.com/open?id=1yN25mfAhiowgcIftJ9xTHjIOQgRluJY0</t>
  </si>
  <si>
    <t xml:space="preserve">Giao Lap </t>
  </si>
  <si>
    <t xml:space="preserve">Phùng Đức Tiến </t>
  </si>
  <si>
    <t>0903412834</t>
  </si>
  <si>
    <t>Delica-ur5840</t>
  </si>
  <si>
    <t>https://drive.google.com/open?id=1K6gUH1yh7X8BEbbbak9LdwWGu--rtUWf, https://drive.google.com/open?id=15HWlmcyp21PgL4hlNPPcU_K0i88Zbj6Z, https://drive.google.com/open?id=1FpIcBIHgvHfS2pcceOx2aBieyNDnVAtG, https://drive.google.com/open?id=1nxmvM8CrAyeIx0D4rUMPAIPUtKnuo472, https://drive.google.com/open?id=1Za6osg-TykC3YoF30RgrR5OttdEKWFUv</t>
  </si>
  <si>
    <t>6km</t>
  </si>
  <si>
    <t>Hoàng thiên khôi</t>
  </si>
  <si>
    <t>0933388282</t>
  </si>
  <si>
    <t>Pgp + cto + ro 5840</t>
  </si>
  <si>
    <t>https://drive.google.com/open?id=1cp4_J5DqyZfM-kRkKh8Xvj6xuvoSHLbi, https://drive.google.com/open?id=1XKbQ_ZXoKBMjVQsEuS880x3X7dFCKny8, https://drive.google.com/open?id=1AHjNKC1gicHwYBdbLSSr8-kGcXOrFPUf, https://drive.google.com/open?id=1ENsoxEs9J-gaeCK7VASJN3nxOGvdq90r, https://drive.google.com/open?id=11FGCXnEmxMrsEOtf0iDBk40PnU7oSjaK</t>
  </si>
  <si>
    <t>https://drive.google.com/open?id=1mWMou9mv-ANd4VRQL8OHTSraUnMqkrLG, https://drive.google.com/open?id=1BAGm9eGpoV-FT5EXidnyFe7xgNY-FCKe, https://drive.google.com/open?id=1M7mwYdSVgJv_J-FvIAsOPLBIm29a_uLP, https://drive.google.com/open?id=1oyesetDOqeeNl0JPXGKr5OdVmrXc9N7z</t>
  </si>
  <si>
    <t>Cafe Kik Kat</t>
  </si>
  <si>
    <t>Lõi lọc PGP và CTO Delica UR5840</t>
  </si>
  <si>
    <t>https://drive.google.com/open?id=10reaB2QBMFBNNIs_AQUu0IlQDiYx2LzX, https://drive.google.com/open?id=1n4WSNH9sDMfzDzHhKeje6A8cj9vppeMq, https://drive.google.com/open?id=1eECitzLWqJu2lPfxeS9aLea8G0Kn3Zn_, https://drive.google.com/open?id=1PFnbKfmZizPmZ4F_pwieHiW4QBFaMLnM</t>
  </si>
  <si>
    <t>No</t>
  </si>
  <si>
    <t>Nguyễn Nam</t>
  </si>
  <si>
    <t>0988792456</t>
  </si>
  <si>
    <t>https://drive.google.com/open?id=1HRWnixzWfa3aey08p3rtsbHZHTgBEOR7, https://drive.google.com/open?id=1f4C9rLc9MdULIQcmWqoks3ROkJ1G_u8f, https://drive.google.com/open?id=1VoEJ3NJT4LlBpjR1UjYZowhYM1YMfjrU, https://drive.google.com/open?id=17kmwaF45mpR1Bvx3ZyYSQhxYkg20JLR5, https://drive.google.com/open?id=1BK_hlOm2eotqDbaohd6L_KmvOZqoSPAy</t>
  </si>
  <si>
    <t xml:space="preserve">Chưa tặng loc </t>
  </si>
  <si>
    <t>Giao hàng tiết kiệm</t>
  </si>
  <si>
    <t xml:space="preserve">Máy </t>
  </si>
  <si>
    <t>https://drive.google.com/open?id=1PV-DQLvgn89B-P7gKuJjnSDxERFHu8q7</t>
  </si>
  <si>
    <t>Giao hàng ra chành gian phước Q5</t>
  </si>
  <si>
    <t>https://drive.google.com/open?id=1In5TAFRCqIsgI1eJI3nVF2nC5imv_Xvf</t>
  </si>
  <si>
    <t>Lấy máy nóng lạnh treo tường ở cảng lát lái</t>
  </si>
  <si>
    <t>Máy và lõi</t>
  </si>
  <si>
    <t>https://drive.google.com/open?id=1WRVzGe1ShhUB6-lrknzmCfb5B7Wm_fMX</t>
  </si>
  <si>
    <t>Giao máy ra chành xe quốc lộ phương trang</t>
  </si>
  <si>
    <t xml:space="preserve">A bảo </t>
  </si>
  <si>
    <t>https://drive.google.com/open?id=1JLjK5dlg3xbDhXOHj60tbFw6GNFjjc7l, https://drive.google.com/open?id=1x0xJxwWolmOzE9UtQ8pIK9VAKRJ0p3H9</t>
  </si>
  <si>
    <t>Lắp đặt thay lõi mới</t>
  </si>
  <si>
    <t xml:space="preserve">C Tuyết Trang </t>
  </si>
  <si>
    <t>0903301883</t>
  </si>
  <si>
    <t xml:space="preserve">Máy 5840 </t>
  </si>
  <si>
    <t>https://drive.google.com/open?id=1d_z8JlFn3tSh0ihLvDHzpFhC_1cvYacY, https://drive.google.com/open?id=1E7PtCmPcZRxy1lglJe4jM6Lbq-w4Iiqb, https://drive.google.com/open?id=1rYHTCM7IndtmslrB8gHBKtVk3p46TLOb, https://drive.google.com/open?id=1-f9gJPAiB5r8jkXylvlDI2HZm-j6qN5K, https://drive.google.com/open?id=1cLLZ6FPeURpMMwJDbWF8ZBVPJ6OfrE1w</t>
  </si>
  <si>
    <t>Ktv hiệp</t>
  </si>
  <si>
    <t>0918955583</t>
  </si>
  <si>
    <t>Cto pgp Ro 54 * cto pgp 58</t>
  </si>
  <si>
    <t>https://drive.google.com/open?id=1qA8nYxFNbo2Sp7KLXn5WbIPQ2uyfA_01</t>
  </si>
  <si>
    <t>Phạm hiên</t>
  </si>
  <si>
    <t>0985665348</t>
  </si>
  <si>
    <t>Ur 61096</t>
  </si>
  <si>
    <t>https://drive.google.com/open?id=1m5jBJxaFlRAx9HcVTEOBbsn-kaS-M8-W, https://drive.google.com/open?id=1NdxGQHmz71e8KEoUbXbugAky-NoVmgEw, https://drive.google.com/open?id=1x6pBMBz7NT3XnUK_-_S551XcLpOqSoF1</t>
  </si>
  <si>
    <t>Đã ck tt 27 km</t>
  </si>
  <si>
    <t>0963631415</t>
  </si>
  <si>
    <t>https://drive.google.com/open?id=1peMSsV2HHeDBwXaosNZprsxkhXeEAVui, https://drive.google.com/open?id=1ScFFthCIC7TNvqh65xCbE0sVQQKymPXx, https://drive.google.com/open?id=1Pxw5Hm9DyxuT2pV9Gh8ZIAKm-NbvhK1c</t>
  </si>
  <si>
    <t>Gia Báu</t>
  </si>
  <si>
    <t>0983236255</t>
  </si>
  <si>
    <t>https://drive.google.com/open?id=13vT-hvXhZ4DxYvHb-GdbwwkxRT1IJmXy</t>
  </si>
  <si>
    <t>0977060305</t>
  </si>
  <si>
    <t>https://drive.google.com/open?id=13y29h33ZfX3zJSy_xVVqqe9saOywl3pP, https://drive.google.com/open?id=1hzgDBzQusB58WQmDyxw6fXDa1d4YxsSy, https://drive.google.com/open?id=19C55pDqvkGHXhXhdxCvY4Pjir1kVMBkM</t>
  </si>
  <si>
    <t>Đã giao tt cước 148k</t>
  </si>
  <si>
    <t>https://drive.google.com/open?id=1lPaXGJCr2FOzJfL6ExJtBmaM29eCKZG3</t>
  </si>
  <si>
    <t>Đã giao hàng cảnh trả cước</t>
  </si>
  <si>
    <t>Sophia</t>
  </si>
  <si>
    <t>0913113995</t>
  </si>
  <si>
    <t>https://drive.google.com/open?id=1cvlsSVibaoUgszgRX9N5YkXblsn9nOTl, https://drive.google.com/open?id=12AsCJlKwN2VG4dHRwTljFnFsvZZHu_nd</t>
  </si>
  <si>
    <t xml:space="preserve">Chị Ngọc </t>
  </si>
  <si>
    <t>090 7952727</t>
  </si>
  <si>
    <t>Pgp cto 54</t>
  </si>
  <si>
    <t>https://drive.google.com/open?id=1O-iW7kX-WstEFXtDZ5UZC6O_gsphJcW1, https://drive.google.com/open?id=14BGjqKWwUM6yfkwn9ZvB9a5L9IJ_ht56, https://drive.google.com/open?id=1uAVLiYzFQuqdilI57l2FUthQZbAr7GLD, https://drive.google.com/open?id=1J1lZImtPqyQUyi4CW7Z4Pt4etJ5WNptA, https://drive.google.com/open?id=17LsJnIXg0SbGxw4aTd2FYn6SfREHEyd2</t>
  </si>
  <si>
    <t>C</t>
  </si>
  <si>
    <t>https://drive.google.com/open?id=13FlfO2Z919PFWpHLAw_Ym-Ul6FloBcY8, https://drive.google.com/open?id=1fUbVAipe-xcdJ1Fb0_MoJ9WYW9Lg3v5b, https://drive.google.com/open?id=1Qx9SVEPWqLWwe6vt3Jxi8mH0ssz5Mltb, https://drive.google.com/open?id=1iJ944UPebjnAk4aUDut1Q_va0vO-BW7W, https://drive.google.com/open?id=1m4UfUeIRdXdHtQCVwDspELTBLhCOHVPz</t>
  </si>
  <si>
    <t xml:space="preserve">Phạm Minh Quang </t>
  </si>
  <si>
    <t>0357388067</t>
  </si>
  <si>
    <t>https://drive.google.com/open?id=1yuzHTpUNXVil7p6UClwLINrht_Tc_9Jd, https://drive.google.com/open?id=1p_BYFN79--j6Ab7RaQpBgDKMxVwj2ukb, https://drive.google.com/open?id=19CxbZCLuliBUuFJHFlZoeLDKLaj2V72O, https://drive.google.com/open?id=10942LEIOu1WBZfLFlliktV0U1kMMalC5, https://drive.google.com/open?id=1tPeKm57xt6n0SE4feORGClEPMb0RUPaZ</t>
  </si>
  <si>
    <t xml:space="preserve">Chị Trâm </t>
  </si>
  <si>
    <t>0909023949</t>
  </si>
  <si>
    <t>https://drive.google.com/open?id=1Gwa1Aiw9a1SZVGO3v2IGSNZPpcsFXyOB, https://drive.google.com/open?id=16QIMtPiFkXVvgjDmNIZOyK-xEEFJ6iYU, https://drive.google.com/open?id=1tqUez7Iz-rQ1Y2pqXBPR5ijbm1IgfGKi, https://drive.google.com/open?id=1M6RTFeBSf8dboOVGacIv7tvC_xRh4nsd, https://drive.google.com/open?id=1hjPy1J2kLgRy5GnOspXFfdPhXVEwJiH_</t>
  </si>
  <si>
    <t>Giao lap 3626</t>
  </si>
  <si>
    <t>Hải Yến Trần</t>
  </si>
  <si>
    <t>Bảo hành 3626</t>
  </si>
  <si>
    <t>https://drive.google.com/open?id=1-c44uyCAkkCLdbDOv2NiKU0QQcc9wYwK, https://drive.google.com/open?id=1QwsjF2Q8Kt807biNMnXdEdCRhPGc5oB8, https://drive.google.com/open?id=12pGakXS0w7KlWPGvVdtWKCs3M29YoNeb, https://drive.google.com/open?id=1aw1x3076OfgGMyYDHARKOTIWCqmFjzVB, https://drive.google.com/open?id=1p7AlWwvLQ17tVSxTExiw4xyiCxntFRQG</t>
  </si>
  <si>
    <t>20km</t>
  </si>
  <si>
    <t xml:space="preserve">Anh quốc </t>
  </si>
  <si>
    <t>0777770170</t>
  </si>
  <si>
    <t>Máy uủ61096h</t>
  </si>
  <si>
    <t>https://drive.google.com/open?id=19Gx06IC7d1dIZmvcz-PD0JE7IVf2o0MN, https://drive.google.com/open?id=1q_b92frZi-bobttlmAX8b2AyWn7ehLWz, https://drive.google.com/open?id=1ghl89Vk417nW-u4nQJU0kokB4ztx7S-m, https://drive.google.com/open?id=1i02Jxv9zbnXeXy_Jqnu6p7zRBlLfIX_W, https://drive.google.com/open?id=1UtovmQtI4RKWVf3agZYuuxpt8b8vLfyn</t>
  </si>
  <si>
    <t>Kim Nhung</t>
  </si>
  <si>
    <t>0949888822</t>
  </si>
  <si>
    <t>https://drive.google.com/open?id=1AL8FIUuS4mcD5g7i2dbQH3RAGdIkMoMh, https://drive.google.com/open?id=1FddG5_OQtMqNDj9KVxdkC9aCAJe9KO1-, https://drive.google.com/open?id=1sWNIdwRC15MO37bBD0s0qSMn1kwtsK0J, https://drive.google.com/open?id=1Ht1bHEBfIb4AdEKFa-OGF2icZ3sXO5gT, https://drive.google.com/open?id=1MCjdukreHyGfmZb4HrLF6yAjgGzJp3i0</t>
  </si>
  <si>
    <t>cô út</t>
  </si>
  <si>
    <t>0909988796</t>
  </si>
  <si>
    <t>https://drive.google.com/open?id=10Rp8OeRuYshfHHhB8cgt_ROpZm48oO1Q, https://drive.google.com/open?id=1lDqFvybkCCBgxud-kpkYD4nrhlBHkWaq, https://drive.google.com/open?id=1fPTtbmUnh-eQEgcfGKI-ZuT-3iIQ7fnE, https://drive.google.com/open?id=1fTzaij2EAEVGWU5kcHHxXzAEcyprQEVf, https://drive.google.com/open?id=1IRhXAp1igZSYyePymQekVBH6jjXbOGb-</t>
  </si>
  <si>
    <t>Kim Chi</t>
  </si>
  <si>
    <t>0909839665</t>
  </si>
  <si>
    <t>https://drive.google.com/open?id=1CXyWZwOTeDFkVUWBwhXAj-31szoUHv4i, https://drive.google.com/open?id=1psJr2QkozE_ebdc1xq1ndDpkubmNzeSj, https://drive.google.com/open?id=1URFWk2R4g3cgk_KBMdEhWQitdXctTzd8, https://drive.google.com/open?id=1EIYX-5P6wnOsiPBPHPZsAInrWoOaXLIe, https://drive.google.com/open?id=1ppBu8vw0WN68t2bWrXjA5_g6MDmLhXyZ</t>
  </si>
  <si>
    <t>nóng</t>
  </si>
  <si>
    <t>Minh Xuân</t>
  </si>
  <si>
    <t>0922222468</t>
  </si>
  <si>
    <t>https://drive.google.com/open?id=1Q2hYT6DOlSL90YH4aN0e8HA6xHLPhrnN, https://drive.google.com/open?id=1-vWWGmPwwIM8DVVjAyMr_UAM9_jJqzrK, https://drive.google.com/open?id=1a3Y6c3dhoZLH3Gs5zIprO_ltHbiH9hSa</t>
  </si>
  <si>
    <t>Đinh Đức Văn Tuân</t>
  </si>
  <si>
    <t>Khải Quỳnh</t>
  </si>
  <si>
    <t>0989381282</t>
  </si>
  <si>
    <t>https://drive.google.com/open?id=1XP0FImuTbOtXKr6FI-_qfYPq6GmCzxSD, https://drive.google.com/open?id=1M8YINTP5XpXVti_cfsJ9_HsAfRNeJWNf, https://drive.google.com/open?id=15XLadBN-QbNn-YwUS5XemvjA2ipBVEa6, https://drive.google.com/open?id=1sq5StEpCJPenlo4fbLuTXqf4JUhV9O70</t>
  </si>
  <si>
    <t>Quỳnh ở Quê</t>
  </si>
  <si>
    <t>0986881368</t>
  </si>
  <si>
    <t>https://drive.google.com/open?id=1LI1GD6dSx7FLrAEho2WxTor0iuH_zpwh, https://drive.google.com/open?id=1cRlfG4Mxh30i916I5F_hSTbIHciYuJWJ, https://drive.google.com/open?id=1bFGKYvZMn5ilZ-_JMbRm9sCAeW8KTbD2, https://drive.google.com/open?id=1KCrqZAW6zjpD_njRz3KxY0574ECatKOA</t>
  </si>
  <si>
    <t>Chưa tặng lọc PCB</t>
  </si>
  <si>
    <t>40KM</t>
  </si>
  <si>
    <t xml:space="preserve">Chị Hoa </t>
  </si>
  <si>
    <t>0936537726</t>
  </si>
  <si>
    <t>Lõi lọc 5840 PGP - CTO</t>
  </si>
  <si>
    <r>
      <rPr/>
      <t xml:space="preserve">https://drive.google.com/open?id=1taVUZvGY_7PicePxN0euq0fW-CW3IC0j, </t>
    </r>
    <r>
      <rPr>
        <color rgb="FF1155CC"/>
        <u/>
      </rPr>
      <t>https://drive.google.com/open?id=1sSq3F_Z8YDpuBwzgtW1tSmw_RO8x50Qq</t>
    </r>
  </si>
  <si>
    <t>Thay lõi lọc Chị Hoa Q8</t>
  </si>
  <si>
    <t xml:space="preserve">Nông thành chính </t>
  </si>
  <si>
    <t>0396104415</t>
  </si>
  <si>
    <t>Máy lọc 1096H</t>
  </si>
  <si>
    <t>https://drive.google.com/open?id=1f9fPGmz5dpTP80HfOpktxPpUoxCyvOzz</t>
  </si>
  <si>
    <t xml:space="preserve">Giao hàng chành xe </t>
  </si>
  <si>
    <t xml:space="preserve">A Chưởng </t>
  </si>
  <si>
    <t>Máy lọc nước 1096H</t>
  </si>
  <si>
    <t>https://drive.google.com/open?id=1Iv4zMqGns7yZu9adawN8Sv2jqbaNPheQ</t>
  </si>
  <si>
    <t xml:space="preserve">Giao hàng ra chành xe đinh bộ lĩnh </t>
  </si>
  <si>
    <t>0937187920</t>
  </si>
  <si>
    <t>https://drive.google.com/open?id=13awUT0dUWWP22h1WwNqDf095Flvq_aJM, https://drive.google.com/open?id=1bsjczqZmJM-VkBtoyRProuWyEvBayrr_, https://drive.google.com/open?id=1lLq8JzzdFoV1iS2wTuEa7jTmItnaCjym, https://drive.google.com/open?id=1vC8OS5NzZmF6HcezqMx7yQKVcsz1T7to, https://drive.google.com/open?id=1ElObb-xNFd4Op7MGfjes--1sUwqF9_-K</t>
  </si>
  <si>
    <t>Giao hàng và lắp lõi chung cư Đức Khải Q7</t>
  </si>
  <si>
    <t>A Tuân</t>
  </si>
  <si>
    <t xml:space="preserve">Máy lọc </t>
  </si>
  <si>
    <t>https://drive.google.com/open?id=1_Hyrz3cGyd7rKGo9fAs4275ZPtixDPkT</t>
  </si>
  <si>
    <t xml:space="preserve">Giao hàng chành xe 158 ưu long Q8 </t>
  </si>
  <si>
    <t>Minh xuân</t>
  </si>
  <si>
    <t>https://drive.google.com/open?id=11-y742is-CuhHxL2T42pRRWLAAP8HhLI</t>
  </si>
  <si>
    <t>Giao hàng chành xe 212 Quốc Lộ 13 bình thạnh</t>
  </si>
  <si>
    <t xml:space="preserve">Đỗ ly </t>
  </si>
  <si>
    <t>0966668553</t>
  </si>
  <si>
    <t>Truliva 61096h</t>
  </si>
  <si>
    <t>https://drive.google.com/open?id=12lDQykhohEB0YThvSVLO0mrH8ViWsQjf, https://drive.google.com/open?id=1SuHkP3EcZgntfJmAJqQpT3dcf6nZVsuN, https://drive.google.com/open?id=13Y4s34GXf_yRIQ2p1LjMwAYDFsEF5gdv, https://drive.google.com/open?id=1BJkw1-PSSKp5z4RCO3QM773GE3rSuWFF, https://drive.google.com/open?id=1S4vCSNX7_JrWJlENJATyI2nDqBshV1VW</t>
  </si>
  <si>
    <t>Anh Huy</t>
  </si>
  <si>
    <t>0985980606</t>
  </si>
  <si>
    <t>Pgp và cto 58</t>
  </si>
  <si>
    <t>https://drive.google.com/open?id=14bC3sl2WhJkOx-aQhfMs_xYVsNgTVLlq, https://drive.google.com/open?id=1V5y_soIC5mfhI4fOl62JFxi_Rpnhkhoy, https://drive.google.com/open?id=1LpIeojlq1gdK0pUliApTv8V8p2l9P0K7, https://drive.google.com/open?id=1wWkHa2kVB3JTmZpZhrx2tT8g9TwXC5jw, https://drive.google.com/open?id=13T16-I5CIInkHEYs4oGJVib2f0RXpjkL</t>
  </si>
  <si>
    <t>Ktv bán và thay lọc</t>
  </si>
  <si>
    <t>Chi Heo Nguyên ( Hồng Thu)</t>
  </si>
  <si>
    <t>0977391079</t>
  </si>
  <si>
    <t>TRULIVA ur61096H</t>
  </si>
  <si>
    <t>https://drive.google.com/open?id=1aQT8Mg5fim3tlDHES-iPTi4yuuh6FDbr</t>
  </si>
  <si>
    <t>KTV Chính đã hoàn thành ca giao + lắp đặt TRULlVA Ur 61096H</t>
  </si>
  <si>
    <t xml:space="preserve">Anh Chiến </t>
  </si>
  <si>
    <t>0909181779</t>
  </si>
  <si>
    <t>PGP+ CTO Delica  5840</t>
  </si>
  <si>
    <t>https://drive.google.com/open?id=1XHiRApd-YGlutvm2oHK0jorl7bdncXcE</t>
  </si>
  <si>
    <t xml:space="preserve">KTV Chính đã hoàn thành ca thay lõi lọc </t>
  </si>
  <si>
    <t>Linh</t>
  </si>
  <si>
    <t>0969767901</t>
  </si>
  <si>
    <t>https://drive.google.com/open?id=1XvIoD1rhzoxaKE_U5vyzDlqmBxrwrchr, https://drive.google.com/open?id=11LTFKPUjNXnm0S60CU7900hBEgNsbo6I, https://drive.google.com/open?id=1wpE4zShCvsrJv9cejk7YkLdhzVU6eFpX, https://drive.google.com/open?id=1v6EjXzRZj36MTa5W1mhabnSnSW7FbRhI, https://drive.google.com/open?id=1VVsvsEhKY6mCwn2arZCV9dKvBOC8ljGq</t>
  </si>
  <si>
    <t xml:space="preserve">Lắp máy </t>
  </si>
  <si>
    <t>Đinh Lệnh Chưởng</t>
  </si>
  <si>
    <t>Huỳnh Tú</t>
  </si>
  <si>
    <t>0948243943</t>
  </si>
  <si>
    <t>https://drive.google.com/open?id=1gSF4ve2AxsvHqOMU9EmWQrlIhKfxbC4m, https://drive.google.com/open?id=1ualHOQjQxS44bcyopgqPCjvN_aARRDOD, https://drive.google.com/open?id=1ermmX0XtqyNnpdJ_AbvGtsCaPKA7_7gF, https://drive.google.com/open?id=1D4MzMztOiaPcHzRZw48TdAj5PJfvEGHO, https://drive.google.com/open?id=1Grlfg0a_S8aEKiHQpPOifcxNKFQfff9R</t>
  </si>
  <si>
    <t>Di chuyển 105KM</t>
  </si>
  <si>
    <t>Thanh Tú</t>
  </si>
  <si>
    <t>0936666257</t>
  </si>
  <si>
    <t>https://drive.google.com/open?id=1-kHEHBXo3dfcJvV-6oj-eo3QLLtWxrML, https://drive.google.com/open?id=1jLwkA_suA_l9obBsMMtNXwykj-AYeUGp, https://drive.google.com/open?id=1kKN8BSBkzDqA2w8ulR-U7NNgAFrENdXr, https://drive.google.com/open?id=1HgTEqLgqAs8IzYhwH-KdGk-3bbdwvhup, https://drive.google.com/open?id=1c5wQZOpGPpfNUvEPF2yk8oUamQJHlIGk</t>
  </si>
  <si>
    <t>Ly Phan</t>
  </si>
  <si>
    <t>0903846861</t>
  </si>
  <si>
    <t>https://drive.google.com/open?id=1QCT2uouj0Ql8a0j5qNHCpwRpqwkDV_Fd, https://drive.google.com/open?id=1F_KTZ9P8sVoykFR0T10zi10SALTwh6ZW, https://drive.google.com/open?id=1xVZ28Ye485WS9syZ-_-Bo5FKpKsvQk7l, https://drive.google.com/open?id=1S4ue2C9RbWbWWu4lxEgkoVwPQfGtYQrh</t>
  </si>
  <si>
    <t>Shopee giao</t>
  </si>
  <si>
    <t>Yến</t>
  </si>
  <si>
    <t>0985230161</t>
  </si>
  <si>
    <t>Ur58</t>
  </si>
  <si>
    <r>
      <rPr/>
      <t xml:space="preserve">https://drive.google.com/open?id=1-KPMRj8luj9MNwVdLfcwHSwaDP1HjHD-, https://drive.google.com/open?id=1mh1gaoAga6l2QYkhGWfqkp0CGGDkxfnt, https://drive.google.com/open?id=1lx0wvfagOnN7tEcLw1qFYwWJ-SxLv8Zt, https://drive.google.com/open?id=1qjL7P5unSyIOvvoX1DQN2KstsAZUjBWP, </t>
    </r>
    <r>
      <rPr>
        <color rgb="FF1155CC"/>
        <u/>
      </rPr>
      <t>https://drive.google.com/open?id=1j0C12TfvUZ3Khge9xSI77Y5dw5pVBYQr</t>
    </r>
  </si>
  <si>
    <t>Chị trinh</t>
  </si>
  <si>
    <t>0947235413</t>
  </si>
  <si>
    <t>https://drive.google.com/open?id=1GLPPd-Mv2kr1pXRQ3YOGc4G6BYgmup2H, https://drive.google.com/open?id=1M9VSZqu06QnRpi0w72OTwoTsKpjoXQzK, https://drive.google.com/open?id=1zMKNOr-sl7bxtmQjoTjsyK6KuxrE1IVv, https://drive.google.com/open?id=1IHgXcpHIXGbCL7nWJ6gfwzRP4Ymizt5G, https://drive.google.com/open?id=1j3MuQF3_tjaRRpTTdMJgAYHIUIIa0_pT</t>
  </si>
  <si>
    <t>D</t>
  </si>
  <si>
    <t>Anh Luân</t>
  </si>
  <si>
    <t>0942114113</t>
  </si>
  <si>
    <t>Lõi lọc 5440</t>
  </si>
  <si>
    <t>https://drive.google.com/open?id=1YKgokPQkrXCzXH5HMx6tAesO5twwml5Q, https://drive.google.com/open?id=1SEaWhrdPHjzSc7tvkBzokgMkwdILfO2r, https://drive.google.com/open?id=1DF7YCp_VvU_Ew0RpzHwUK57Gq9j9KKTh</t>
  </si>
  <si>
    <t xml:space="preserve">Thay lõi lọc -  Đã Chuyển khoản cho Công ty </t>
  </si>
  <si>
    <t>Đào ngọc bích</t>
  </si>
  <si>
    <t>0986889910</t>
  </si>
  <si>
    <t>https://drive.google.com/open?id=1afFpOUAQut3m0RjhNXsd8ZBuzyOprYV3, https://drive.google.com/open?id=1pp9lQhbWAwptvtTojiJ6NHsiMv2V_x25, https://drive.google.com/open?id=12HFjPPc1SF-uFwr5s0UyEbsqwdK8I2Ma, https://drive.google.com/open?id=1jOD-BTjri0ZNPoThYD_BLZjteXIY7DQr</t>
  </si>
  <si>
    <t>A vinh</t>
  </si>
  <si>
    <t>0569099813</t>
  </si>
  <si>
    <t>https://drive.google.com/open?id=1xJLVrPhAFVzyHUl9035jmQXjQp7I6cM7, https://drive.google.com/open?id=1vKiqA0DJr0-uWG0oNQrD_RfiTvw-9saT</t>
  </si>
  <si>
    <t>anh Trọng</t>
  </si>
  <si>
    <t>0902036668</t>
  </si>
  <si>
    <t>https://drive.google.com/open?id=1ivCYH8ywQalNeRzrTp_jX2jSVVmWVVIM, https://drive.google.com/open?id=1yjnnYa-eyh6fWsLUDDOUFt1_K4vDdSM9, https://drive.google.com/open?id=1QGPMed7PQLNByXZqxtq0KVPyENRlA7z3, https://drive.google.com/open?id=11AT4HvnLoR3nVfA2flcOkVKNacrbNBgU, https://drive.google.com/open?id=12IzY3czAFjKRIzKBgvz59gWumDA6XGro</t>
  </si>
  <si>
    <t>ck</t>
  </si>
  <si>
    <t>chị Hà</t>
  </si>
  <si>
    <t>0969828837</t>
  </si>
  <si>
    <t>https://drive.google.com/open?id=1Y8gFb7l049QD5-hbqEx2r0ArmIPFbS0m, https://drive.google.com/open?id=1hblsiHVQiVW8YwVX16_pITANAdl4X3na, https://drive.google.com/open?id=1tuklkFfls6h2_-7A_Cp_ZjPTYeD2qtDq, https://drive.google.com/open?id=1eI89nlvaoz3nnotXkhOA4wVewAis9vmG, https://drive.google.com/open?id=1ni6_WGF_5CeMZdQ8fcrY8eaUUX7qao3P</t>
  </si>
  <si>
    <t xml:space="preserve">A hiệp </t>
  </si>
  <si>
    <t>0828189696</t>
  </si>
  <si>
    <t>Delica ur5840</t>
  </si>
  <si>
    <t>https://drive.google.com/open?id=15ywCXfIp160aGFjiiIvNvdK0iss8qWUr, https://drive.google.com/open?id=1nB-Z5DHqdamQdo2dPevg1jzLKwtHBgxV, https://drive.google.com/open?id=1ARgR0ZLMqv9h48vW_jZZo7M147iVPqFP, https://drive.google.com/open?id=1sk2ppn3skuZHPNpk2ifWFzkwV7MNTx-v, https://drive.google.com/open?id=1AYgJpcHJqTetu-jzl5I6vEAdRVB-38tl</t>
  </si>
  <si>
    <t>18km</t>
  </si>
  <si>
    <t>Heo Nguyên (Hồng Thu)</t>
  </si>
  <si>
    <t>TRULIVA ur 61096H</t>
  </si>
  <si>
    <t>https://drive.google.com/open?id=11CyiGGxNeBZNGwib8LePcUcMdKIMjTMf</t>
  </si>
  <si>
    <t xml:space="preserve">KTV Chính đã hoàn thành ca lắp đặt lại máy </t>
  </si>
  <si>
    <t>0934707474</t>
  </si>
  <si>
    <t>https://drive.google.com/open?id=1sWutizZ0xmBesXKXZKN7BE8jRGR7W4Lj, https://drive.google.com/open?id=1X2bIeSlHkFBbLxuOte394yTNnnOSN6FU, https://drive.google.com/open?id=14c6Ce0IlyGgUlD-COiqYWyRVOwpqMhgq, https://drive.google.com/open?id=18vRgkXYYomEpMavT_vgXDvsi5QTCj1y_, https://drive.google.com/open?id=1RDKgXSKUzmbH3mJVg4ub3kNdiB6bRsCu</t>
  </si>
  <si>
    <t xml:space="preserve">Đi xa 50 km </t>
  </si>
  <si>
    <t xml:space="preserve">Lương ngọc hiển </t>
  </si>
  <si>
    <t>0823724047</t>
  </si>
  <si>
    <t xml:space="preserve">Thay lõi 54 PGP - CTO </t>
  </si>
  <si>
    <r>
      <rPr/>
      <t xml:space="preserve">https://drive.google.com/open?id=1Mv5LfZHzrYKc_0SxxWXLatPc-fn4Kx9f, https://drive.google.com/open?id=1qyn6xVZYCcDqE91OI6ogaVSej3t1xs7W, https://drive.google.com/open?id=1lKMhhyeNCj_v_Pw21YWJ8nC4rojChPBe, </t>
    </r>
    <r>
      <rPr>
        <color rgb="FF1155CC"/>
        <u/>
      </rPr>
      <t>https://drive.google.com/open?id=1Ff0HNhXabFa-UJNOLm4ePs37ZFGS1Mtl</t>
    </r>
  </si>
  <si>
    <t>Khách đã chuyển khoản công ty</t>
  </si>
  <si>
    <t>Lê hoài nam</t>
  </si>
  <si>
    <t>0989991229</t>
  </si>
  <si>
    <t xml:space="preserve">Lõi lọc 5840 PGP - CTO </t>
  </si>
  <si>
    <t>https://drive.google.com/open?id=1efpubqBwI5q6upKvH2rn8x2779hS7Jw-, https://drive.google.com/open?id=1nzgaQgJ5kXPMkhjFT7epeegpbP6P9OK8, https://drive.google.com/open?id=16UhJC8ZMCvlh922puf8dHtfyQrl3On07, https://drive.google.com/open?id=14UFDBhi7kBBXAyd8dE72dqK8ppn61QAS, https://drive.google.com/open?id=1TpKJ_Ptm9JXXvvntHQI5tM5QMdAzO-Pp</t>
  </si>
  <si>
    <t xml:space="preserve">Khách đã thanh toán chuyển khoản </t>
  </si>
  <si>
    <t>1329824092700132</t>
  </si>
  <si>
    <t xml:space="preserve">Anh xuân </t>
  </si>
  <si>
    <t>0934592931</t>
  </si>
  <si>
    <t>https://drive.google.com/open?id=1uGbsnofUxq06uGg7TW-_rU6t_EX6Eh7n, https://drive.google.com/open?id=1nd-L7-BMBgwzArXyLTC_BmV2kOssZ_JS</t>
  </si>
  <si>
    <t>Giao 2 đơn khách hàng - Chị Trang , Lê Hiếu Xuân , Gửi Chành Xe Phương Trang</t>
  </si>
  <si>
    <t xml:space="preserve">A giang </t>
  </si>
  <si>
    <t>0909818888</t>
  </si>
  <si>
    <t>https://drive.google.com/open?id=1oZgf3ApGs1Z8bUhgmqtILhw5u-o4fjaM, https://drive.google.com/open?id=1iZ7kkdUcGno7kWvhQtcHdxAjD0-TpXwA, https://drive.google.com/open?id=1ExwIkwn2pXQ1e5cFzihvsa8AH0JLPeZ3, https://drive.google.com/open?id=1DizcaIGxMkvh89h-QE9eHKwPetQwGb5f, https://drive.google.com/open?id=1CBUrBhbJ-NDIjIsTgjnK6fn7vUHAzDwd</t>
  </si>
  <si>
    <t>Tô minh hải</t>
  </si>
  <si>
    <t>0965523896</t>
  </si>
  <si>
    <r>
      <rPr/>
      <t xml:space="preserve">https://drive.google.com/open?id=1y6YsXrjFe31StoXcTaZzu1gtDiLyJ876, </t>
    </r>
    <r>
      <rPr>
        <color rgb="FF1155CC"/>
        <u/>
      </rPr>
      <t>https://drive.google.com/open?id=1dscZt8FIZzVN3PNY_7s6fPU1XjMctv-_</t>
    </r>
  </si>
  <si>
    <t>https://drive.google.com/open?id=1zevKM4-1NMbeOqyBYAm2Wf_uQPRjtMDu</t>
  </si>
  <si>
    <t>Nguyễn tuyết mai</t>
  </si>
  <si>
    <t>0965530782
0965530782</t>
  </si>
  <si>
    <t>https://drive.google.com/open?id=14i981piZqinrVyX_F6d1Yyt8AXPJ2gug, https://drive.google.com/open?id=1UxSmOQUFU_FmvSQPcF21g6rnKTqbJ8pB</t>
  </si>
  <si>
    <t>Đặng ngọc</t>
  </si>
  <si>
    <t>0976327628</t>
  </si>
  <si>
    <t>https://drive.google.com/open?id=1pp8japI69PSxMcYSuy2L5RqXA7jmWLBX, https://drive.google.com/open?id=1VcezHeUc5UBz9ro07thRc0j_KS6yS5UZ, https://drive.google.com/open?id=1s4vcTgz5hqXV0PrweUV6YjXjuIh-w3dr, https://drive.google.com/open?id=1pJ6uMlrNZqwpVJbwI6U4Gnhm25Ula1Mk</t>
  </si>
  <si>
    <t>Đã hoàn thành 19km</t>
  </si>
  <si>
    <t>Hoàng Linh</t>
  </si>
  <si>
    <t>0358720865</t>
  </si>
  <si>
    <t>https://drive.google.com/open?id=1Zb_jS19GbsMz9lhHGTvzyh3VwdopafYe, https://drive.google.com/open?id=16Wfd5GCVuM1H3mn861iVVQq1B9iIl7R7, https://drive.google.com/open?id=17EPeqeumOxH5UpXhOoRGcX2TweefHnuH, https://drive.google.com/open?id=1eEf6NITe3Q4LqWsptCBl-_lYxrSHFKrH</t>
  </si>
  <si>
    <t>35km</t>
  </si>
  <si>
    <t>Nguyễn Thy Lanh</t>
  </si>
  <si>
    <t>0988869360</t>
  </si>
  <si>
    <t>https://drive.google.com/open?id=1DiVrAZkrQlBuZMmfdgkP7cm93ytSp23k, https://drive.google.com/open?id=1xcWz9utAJ4LmCVJzWJRoSrNK9zgCltQj, https://drive.google.com/open?id=1jKaXN4KgiA5E3t_n1iHGCEqnRcLfKNKP, https://drive.google.com/open?id=1W3fzVY_fVEhXbB_mJ4DhqhqYk5XjACDW, https://drive.google.com/open?id=1ljTLou5VMxm2Aoe_iJVLRcI2hkGBTCJi</t>
  </si>
  <si>
    <t xml:space="preserve">Thay lõi </t>
  </si>
  <si>
    <t xml:space="preserve">Cty Phi Loan </t>
  </si>
  <si>
    <t>0984856449</t>
  </si>
  <si>
    <t>Ur3626+W6412</t>
  </si>
  <si>
    <r>
      <rPr/>
      <t xml:space="preserve">https://drive.google.com/open?id=1uvc9cr2adaanDDknGjbFKQlDnIAn7EFp, https://drive.google.com/open?id=1J25zFjoaRmVA-FWcfRkWqSw0sOtF4W1z, https://drive.google.com/open?id=1uLFqOEUmtgxkLHNOI4TM3oMEBP2OFMhi, https://drive.google.com/open?id=1byoyWSS2w_Mtkc0HZ-OYZ-pC6nwwKCQy, </t>
    </r>
    <r>
      <rPr>
        <color rgb="FF1155CC"/>
        <u/>
      </rPr>
      <t>https://drive.google.com/open?id=1OdrIcQyG4JnrtLuArPQpsbQVVOvbVcgA</t>
    </r>
  </si>
  <si>
    <t xml:space="preserve">Phát sinh 80k có ghi trên phiếu </t>
  </si>
  <si>
    <r>
      <rPr/>
      <t xml:space="preserve">https://drive.google.com/open?id=1_xoejyXopMNXTr9QsViBYE8Vf1gHMcrY, https://drive.google.com/open?id=1vVNlsYUv9Eee_LaUVqiLwwUh-LFsuVfS, https://drive.google.com/open?id=17dX_IypWmYNFaglFATvDJ4IyoORxE5lN, https://drive.google.com/open?id=1qz2nJdlmLTchTOUwgqiP25ay7eV8trcB, </t>
    </r>
    <r>
      <rPr>
        <color rgb="FF1155CC"/>
        <u/>
      </rPr>
      <t>https://drive.google.com/open?id=1elgaNO0OgVOdpRxWltImeBem_2j-030-</t>
    </r>
  </si>
  <si>
    <t xml:space="preserve">Khách đi điện trần nhà xuống lắp ổ điện sau </t>
  </si>
  <si>
    <t>0975664698</t>
  </si>
  <si>
    <t>https://drive.google.com/open?id=1D8-hAr4s7qHKQMp4JQ3jmS7Tf6VwBREi, https://drive.google.com/open?id=1371L4BMGCzS003f3ZKFLNRkx1KBu230p, https://drive.google.com/open?id=1PRcQvwbNeaCQL7EKy6pj9Xi68OHCvX6P, https://drive.google.com/open?id=19vp0gCyPSo_zNFQ9eQIBoICctFJqlp45, https://drive.google.com/open?id=1MBLv_KbN2qftrXKhjpFLEauFarsDGU8Y</t>
  </si>
  <si>
    <t xml:space="preserve">Đã giao hàng và lắp máy </t>
  </si>
  <si>
    <t>Chị Kiều</t>
  </si>
  <si>
    <t>0977747738</t>
  </si>
  <si>
    <t>PGP + CTO 5640</t>
  </si>
  <si>
    <t>https://drive.google.com/open?id=1XVCctKKAVSA05bE7AGdkCHPOVimIgwLc, https://drive.google.com/open?id=1OU3rGXt6xK9EQARhA_5BuJLNjpGIU9i8, https://drive.google.com/open?id=1YsQLTGmS9EzhvGLWDPdAXBoH1aTJLHbh, https://drive.google.com/open?id=1bO2mKTTAgF0fBq6M0R_xy8ccuKRieLgv, https://drive.google.com/open?id=1yurf6q8bXbT15UlNbT6P1PsBm4Tc4emJ</t>
  </si>
  <si>
    <t>Nguyễn Bắc</t>
  </si>
  <si>
    <t>0888887339</t>
  </si>
  <si>
    <t>https://drive.google.com/open?id=1Y95X5flJlaTCqJ9n9Rxl5N875eNwryhQ, https://drive.google.com/open?id=1mhCX5NH8yUaCRynbWCYU-cQ4hErsyTt2, https://drive.google.com/open?id=1St3Zjsv5NtzkqcwJVzhCx9KusMZvG8n8, https://drive.google.com/open?id=1pePD-8BXN0pj02TQtGiYezq4qjYxpzWk, https://drive.google.com/open?id=1SreQFajXv84bEhPXIc1FTx3MiYxmqG_N</t>
  </si>
  <si>
    <t xml:space="preserve">Chị Hải Yến </t>
  </si>
  <si>
    <t>0982756167</t>
  </si>
  <si>
    <t>Truliva ur61096h</t>
  </si>
  <si>
    <t>https://drive.google.com/open?id=1OEokC9p1oyAq4fw_mV27LtxuA191wRi6, https://drive.google.com/open?id=1C7sEQq8Cg0iQ0W_K2_0P5KOaEolLcHNQ, https://drive.google.com/open?id=1IaWwCVpQe8kM-nydIEkmn9-I4tF0ikJD, https://drive.google.com/open?id=1dQjGK_r7DaM9I-Vs9IsBnkpicxlAXS2W, https://drive.google.com/open?id=1FQKSSpspUyDZULHVZ5FFn7aey4Hy5bMQ</t>
  </si>
  <si>
    <t>1858250822000067</t>
  </si>
  <si>
    <t xml:space="preserve">Anh Tiến </t>
  </si>
  <si>
    <t>https://drive.google.com/open?id=14kzYbpiq3StDuCLrLb9rams6maTMAlR2, https://drive.google.com/open?id=1lEXlQsFLvrbE0-yVY6bS8PngS94jZZYl, https://drive.google.com/open?id=1ZDiPSJ7Sgp7R9uirUX8CBxzTph8_us-0, https://drive.google.com/open?id=12awniFVmRx10VY92HeIlFxM9Q2RSAHof, https://drive.google.com/open?id=125z5E8p_sEWVnjvcDMayz8m-vM3JwBkN</t>
  </si>
  <si>
    <t>Anh tiến - khách đã thanh toán chuyển khoản</t>
  </si>
  <si>
    <t>Chị thuỷ</t>
  </si>
  <si>
    <t>0983916612</t>
  </si>
  <si>
    <t>https://drive.google.com/open?id=1z_crpyLO9nnMlY9_nA168gduXeIIkLr9, https://drive.google.com/open?id=18fDm--KgRXvYUbsmpOogZCjjndL28EZJ</t>
  </si>
  <si>
    <t xml:space="preserve">Thanh Loan </t>
  </si>
  <si>
    <t>Lõi lọc 58</t>
  </si>
  <si>
    <t>https://drive.google.com/open?id=1nY6bSTq1NmrMHV_G2tcmxPA04FI3SQ-j, https://drive.google.com/open?id=1fSrjBjyHBKqLmuzw6V76WQY77QBmYri6, https://drive.google.com/open?id=1mdIRWaUFecQcNy5g7k2fU_AacY3xL917, https://drive.google.com/open?id=1z9Wj2pxD8gDFpmMLydMn6QaBGz8FdynO, https://drive.google.com/open?id=1f_f9qMiahnMi3BXpDbqSfitopWuHYTis</t>
  </si>
  <si>
    <t xml:space="preserve">Khách đã chuyển khoản </t>
  </si>
  <si>
    <t xml:space="preserve">Nguyễn Anh Tuấn </t>
  </si>
  <si>
    <t>0903221977</t>
  </si>
  <si>
    <t>https://:drive.google.com/open?id=1VBZhfGYAVdu7-G-heCO-CTgF_00cS51y, https://drive.google.com/open?id=1EVM98lsglIhmQ-NYl7emsgbvzEn6--nR, https://drive.google.com/open?id=1P7ZVxQj3oQHWPFVNHht7St2epS98WfCc, https://drive.google.com/open?id=1ZC56xfrO7DinVLKK7leaciW1qBMtQK_3, https://drive.google.com/open?id=1i83YVZwELEATF02SG_HImeTdnEJU9iAV</t>
  </si>
  <si>
    <t xml:space="preserve">Anh Kiên </t>
  </si>
  <si>
    <t>0898762038</t>
  </si>
  <si>
    <t xml:space="preserve">Truliva 5767 </t>
  </si>
  <si>
    <t>https://drive.google.com/open?id=1nlz6bzdfFRJr3zq41t1zaaQyxg2Hw48g, https://drive.google.com/open?id=1aebjILccomPQOYLWO3kybu4ri2FNA4Ce, https://drive.google.com/open?id=1cJcJp20Y62fT9Zhd1uGxye2ID1pQPu0C, https://drive.google.com/open?id=14n2kR6suFbVhP8M4CVDk-MhMkHDz-XqV, https://drive.google.com/open?id=1osVMMySyUPeIjXNT3Qcrj6YUdRJ8q5mL</t>
  </si>
  <si>
    <t xml:space="preserve">KTV Chính đã hoàn thành ca giao và lắp đặt </t>
  </si>
  <si>
    <t>Anh Tây</t>
  </si>
  <si>
    <t>0908247567</t>
  </si>
  <si>
    <t>https://drive.google.com/open?id=1IxxUZZQrGLKKHu6hj6thR_-ENRiHlXP5, https://drive.google.com/open?id=1P-AKNVafktXkXHbNOZVsedpIEz93rhdS, https://drive.google.com/open?id=1CHQ3VRCUa4FJTkzgispI3bHYMpS2W8DF, https://drive.google.com/open?id=1693FkqMZfgr0edJ54u8Us1BbGc-DSZaT, https://drive.google.com/open?id=1Nggk6-dobMfkLZcP_mtbl5pyd5HNFPBj</t>
  </si>
  <si>
    <t>Thay pgp+cto</t>
  </si>
  <si>
    <t xml:space="preserve">Chị thùy </t>
  </si>
  <si>
    <t>0913333915</t>
  </si>
  <si>
    <t>https://drive.google.com/open?id=1WhWXWTuVlnRJ1dIGAbEydcYJ6NfIpjyp, https://drive.google.com/open?id=19YUF2j5WRlWLxB4Bz-apisTqTAqCxTWw, https://drive.google.com/open?id=1ILxV-fZFcFuhRlRATZN-4mtSTrFoM0T8, https://drive.google.com/open?id=1ccQJ_F9N-XOQIZwFJOYcvwfvS0wXRfTs, https://drive.google.com/open?id=1wKEP_Up622RMA92mknq27exsdOr8e-w0</t>
  </si>
  <si>
    <t>Khách thanh toán trực tiếp cho sale</t>
  </si>
  <si>
    <t>Chị tuyết</t>
  </si>
  <si>
    <t>0912021179</t>
  </si>
  <si>
    <t>https://drive.google.com/open?id=1eUEUUUJiopUP_xqczWCZFtglCmCGt4U1, https://drive.google.com/open?id=1vV1_d4DwQAsMqiYz5dWVpOGna5vA0EM8, https://drive.google.com/open?id=19t9lrEyiBw4nmRAW4cSPdTq93qRX-DYY, https://drive.google.com/open?id=1GRFtHCSbm16wJ29L0gA4jb_9j0z4TziN, https://drive.google.com/open?id=1pFBzVP0nxRd_2Dei2d0NLS1VYA5JGa6P</t>
  </si>
  <si>
    <t>Uyên Uyên</t>
  </si>
  <si>
    <t>0904489490</t>
  </si>
  <si>
    <t>PGP + CTO 5840</t>
  </si>
  <si>
    <t>https://drive.google.com/open?id=1MS6BzMUzh29wtogHoyUj4reZ7ybb-TpQ, https://drive.google.com/open?id=1ru4IZYInZw8hPLd9EdJU6fUCZqGuT1RQ, https://drive.google.com/open?id=1txp8dUbI6S3eBtVyNXidWh7Q1gQqbZje, https://drive.google.com/open?id=1IVFRzjm4PAl2x_rtTAJCul-sRd2weUVf, https://drive.google.com/open?id=1qhBf4RlshuxZzKSqsmetT9rKtDtQTTnL</t>
  </si>
  <si>
    <t>A quang</t>
  </si>
  <si>
    <t>0908202692</t>
  </si>
  <si>
    <t>https://drive.google.com/open?id=1NScbSuCraW2rl_L7awbQQ1hWFzVD2Eab, https://drive.google.com/open?id=1-5pzulZEtDNDKU0LOqozk1pukvb9lngf, https://drive.google.com/open?id=1xWiP2SsFq1iyUZW3s0EJNWHxwThWmeTL, https://drive.google.com/open?id=1kkSk9zv1HVQuMqQ2DMCCgQg29EqVf_fP, https://drive.google.com/open?id=1cCIrxayYj4mLTpWGassoPq-eU5qq9MRr</t>
  </si>
  <si>
    <t>E</t>
  </si>
  <si>
    <t xml:space="preserve">Anh Tĩnh </t>
  </si>
  <si>
    <t>0938460117</t>
  </si>
  <si>
    <t>https://drive.google.com/open?id=1eUpj5i6fB_yTHj-CCFNsDDt8XZg6S89m, https://drive.google.com/open?id=1rX7bZjYHHAW8rgiphstxn2MlvVkhO_d2, https://drive.google.com/open?id=1D_JkVoSe8_axfaZgtW_d68HN4tFR5dtP, https://drive.google.com/open?id=10yqEZF2kiT3pFwuV_2C56o42m26PI6K7, https://drive.google.com/open?id=19UeGGtBy90BmtTDsl-Z8fwJYEKItmUeU</t>
  </si>
  <si>
    <t>Phí vận chuyển 100k</t>
  </si>
  <si>
    <t>Anh Tùng</t>
  </si>
  <si>
    <t>0976710000</t>
  </si>
  <si>
    <t>https://drive.google.com/open?id=1S9t9vkzo0vaawohNxpRmxWU6_GM6eqfd, https://drive.google.com/open?id=1XaMwLMEsvqU_P-0j0wrwpT_X5uj3l9z7</t>
  </si>
  <si>
    <t>78km + 360k đi xe đò (2 lượt)</t>
  </si>
  <si>
    <t>Máy UR5676 (Máy thứ 2)</t>
  </si>
  <si>
    <t>https://drive.google.com/open?id=1s-_aT601nvju736_QRRSCw5ZMvAcLwrs, https://drive.google.com/open?id=1T17O2sgc_dR3Rd2OFA54JmZVUB9UZW-K, https://drive.google.com/open?id=18Yb9TvU61TWD6VSEzreooMLZIPig-Uko, https://drive.google.com/open?id=1AQ_5Yh9R0jTkwjSXc2ARbO8iTOVdhFZ_</t>
  </si>
  <si>
    <t>Bù kc ca 866778362 = 55km và 912275842 = 65km</t>
  </si>
  <si>
    <t>Anh lê hiếu xuân</t>
  </si>
  <si>
    <t>0797988856</t>
  </si>
  <si>
    <t>Lõi lọc cto và pgp 5840</t>
  </si>
  <si>
    <t>https://drive.google.com/open?id=1USFQNayuz61Qi_U96vl4G58o_EbbkuDP, https://drive.google.com/open?id=1QEetWc6RPWU4ftva1NZ-BG9WKCtp_ZQD, https://drive.google.com/open?id=1ArkIdvPimkPuApijL6X7JnrD2XYqokXl, https://drive.google.com/open?id=1j5QyCZaq2CDH3bQ5O_Bs72nCgBULvgU9, https://drive.google.com/open?id=1memFKH0tq8vPP5l5jsBsBX6gMNPg2ugg</t>
  </si>
  <si>
    <t>Thay cto và pgp máy 5840</t>
  </si>
  <si>
    <t>Nguyễn Tấn Lực</t>
  </si>
  <si>
    <t>Lâm Diệp</t>
  </si>
  <si>
    <t>0911488448</t>
  </si>
  <si>
    <r>
      <rPr>
        <color rgb="FF1155CC"/>
        <u/>
      </rPr>
      <t>https://drive.google.com/open?id=1_WeJcUkLDfWr2gMN5QvK-1XLu41RmiPy</t>
    </r>
    <r>
      <rPr/>
      <t>, https://drive.google.com/open?id=1Galq-1yE0R8U_uw6HmwGka78uQkk1Tk6, https://drive.google.com/open?id=139wSsvMNZgMQ2gYLa6S8Z42bnNlDKZXR, https://drive.google.com/open?id=1KH53Rkh5sK_mP8mAVWAbG5fiV1C9xs_P, https://drive.google.com/open?id=10gkvYhbj_4c3x9IGvn6u6Lph4cHh5p57</t>
    </r>
  </si>
  <si>
    <t>K/c di chuyển 25km</t>
  </si>
  <si>
    <t xml:space="preserve">Chị phượng </t>
  </si>
  <si>
    <r>
      <rPr/>
      <t xml:space="preserve">https://drive.google.com/open?id=11PPR7qSy-7HqHI2Ix_VO6e6qjLGB4vHQ, https://drive.google.com/open?id=1zpEAyChjiQFZD-rHL3qub9HL83zgZ_F9, https://drive.google.com/open?id=1cHTdTigT6YPuBPJGEdO43ZexOqufxUhX, https://drive.google.com/open?id=1PyLhUeQFz7Dw2x4zYVlgO6Qhy5QjucjN, </t>
    </r>
    <r>
      <rPr>
        <color rgb="FF1155CC"/>
        <u/>
      </rPr>
      <t>https://drive.google.com/open?id=1W5NXZ7loGsoHTY5nt4QX2t77FB4v5n2L</t>
    </r>
  </si>
  <si>
    <t>Chị đường loan</t>
  </si>
  <si>
    <t>0986201553</t>
  </si>
  <si>
    <t>https://drive.google.com/open?id=1r9hFGu03AgIkdB5hEkxPqC-Mm23-w9K-, https://drive.google.com/open?id=1Lxoy9YISPr4JSWzW9klxHgSD_a8FPh8u, https://drive.google.com/open?id=1oOIEYhq6-kGTk76BPDcA7XC7Y5h9J4Wa, https://drive.google.com/open?id=1Eil63ORr7sU9ZWTAtkfCYnhEYavgSHOb, https://drive.google.com/open?id=15dncR5do8YSW--QMWGWr1-yag_cWv1R_</t>
  </si>
  <si>
    <t>Đã thay lõi
Cây số =42km</t>
  </si>
  <si>
    <t>0981123496</t>
  </si>
  <si>
    <t>https://drive.google.com/open?id=1iNNNMT7JrxNHfgxfRKz-Hkg7KuBi-4k3, https://drive.google.com/open?id=1O9Af7aAN7ilb_owNK-e3KT91H6PtsifM, https://drive.google.com/open?id=1JJ_Yab7wHd_Y6MLhr1QGx6VLx_JKwjYz, https://drive.google.com/open?id=1UemB7xGUC7IRNIonXkKaEyMymfsqGYvd, https://drive.google.com/open?id=1y8FTybnnk1fXvVUYjlEhuhYv_ZNWoWnA</t>
  </si>
  <si>
    <t>Hoàng long</t>
  </si>
  <si>
    <t>0963208951</t>
  </si>
  <si>
    <r>
      <rPr/>
      <t xml:space="preserve">https://drive.google.com/open?id=1l0wxHLxeHy1WtNjnTKWjqRMok0AblIMs, https://drive.google.com/open?id=1Fu5KThEaL8ZjGBKU3Fvf47rHLjk9qpwz, https://drive.google.com/open?id=1PCG6bPT0lw6Fn0QZHyv3-btDMX6wdhL8, https://drive.google.com/open?id=1UYtv3Yz8oDpAWOIzBS8_gtpByXOO9GN8, </t>
    </r>
    <r>
      <rPr>
        <color rgb="FF1155CC"/>
        <u/>
      </rPr>
      <t>https://drive.google.com/open?id=14mTiiry2ZzRh8w5W-nFaRhFmwazfys_G</t>
    </r>
  </si>
  <si>
    <t>https://drive.google.com/open?id=1URc7Ie8dy7vQce_LLD13hpRHDwRy-hdn, https://drive.google.com/open?id=1_MhOD99mkdM07nKjuiRw8w6Na3BMx3-3, https://drive.google.com/open?id=106Lv9FcP_mr7u_7oCb7HsYJQ3Pe0o9bO, https://drive.google.com/open?id=10nmmTOLdPctHL0TJ7BQ06cDw7rxmXU7x, https://drive.google.com/open?id=1epANrgSgjs_6j9YKHAFV9yR5L91aDaPJ</t>
  </si>
  <si>
    <t>0937004617</t>
  </si>
  <si>
    <r>
      <rPr/>
      <t xml:space="preserve">https://drive.google.com/open?id=1996S1OKzp8xBmqXRcoxCy5NmrNCGQq9J, https://drive.google.com/open?id=18wKN9ujdrxGj9ojInUbt9yr6mDpm9FHf, https://drive.google.com/open?id=1jF9a7Dr1BpoBuzrLGp0pZ1bL3MaNX9CH, https://drive.google.com/open?id=1jXMfli4Dn557kFZgGGCIGMWxWv-3Gb1K, </t>
    </r>
    <r>
      <rPr>
        <color rgb="FF1155CC"/>
        <u/>
      </rPr>
      <t>https://drive.google.com/open?id=1T3oy-rwL5fvuT-zlioeyfGj5799gAou1</t>
    </r>
  </si>
  <si>
    <t>0962555578</t>
  </si>
  <si>
    <t>https://drive.google.com/open?id=1JPY5apvot5LStJVznGkAiyhYFbOWhpBd, https://drive.google.com/open?id=1DX3gzVnzN0nrj3kieoQREy-qBuP4y6Gh, https://drive.google.com/open?id=1ktVmPJ1EQtuNoiNN0FV9msHkzXy9yGZD, https://drive.google.com/open?id=1LJrzvljd4UXBcR6woWExyT_cqdHVpIQ3, https://drive.google.com/open?id=1jF0Pbmj6hkm6bc9BKRZugfEpgbN7pV9n</t>
  </si>
  <si>
    <t>Lê Nguyễn Thanh Long</t>
  </si>
  <si>
    <t>0798580049</t>
  </si>
  <si>
    <t>https://drive.google.com/open?id=10LDUdG8MTGpqQw9xkDZADeV2irncZDio, https://drive.google.com/open?id=1yuZK_KhM3E9H_ulB-yM3QMiC7Q8PGiaC, https://drive.google.com/open?id=10JO7bA6iMRCv2YUWKCWi8CsD6QMynjtO, https://drive.google.com/open?id=1C-dBISErFpq-xPxhkwdS_WRzvpxjUqsX, https://drive.google.com/open?id=10Y2UIacYqERE-DPQsjsyntgGOj6t_RJP</t>
  </si>
  <si>
    <t>ck chị Ngọc</t>
  </si>
  <si>
    <t>Van Nguyen</t>
  </si>
  <si>
    <t>0933766989</t>
  </si>
  <si>
    <t>https://drive.google.com/open?id=1xhmS-qV2mjICnJ34-_JHyQI2nNoO7DuS, https://drive.google.com/open?id=1sEVqqB3c0hKeVPiNC5mBXXG7qknLxeEi, https://drive.google.com/open?id=1EFfzB-YmjezeSRrOwTXvaDwCb08hd1YC, https://drive.google.com/open?id=1v3WHU1byimGQfGcciZ0Cq2VLr_u-3OLO, https://drive.google.com/open?id=1VgMkUymKqoYR7SX6IxCO0D8GII3nqszF</t>
  </si>
  <si>
    <t>lắp đặt</t>
  </si>
  <si>
    <t>Minh Thúy Lê</t>
  </si>
  <si>
    <t>0936227237</t>
  </si>
  <si>
    <t>https://drive.google.com/open?id=1LPyXZkXZdPclDX_KnLbxhLEe80Swhgu2, https://drive.google.com/open?id=1BP22YIzizk6IFRvA0-1Q09c4T65KbUTj, https://drive.google.com/open?id=1Y0gxsuEwb_Seg-Cs8E8aTwRuA4ZJl_gd, https://drive.google.com/open?id=18UMdKU7jP1hs1i-qNgmvTC5oBIctRkrK, https://drive.google.com/open?id=10PW4nWt_1Kd6Y6-5woY0HAQZpu10WFU5</t>
  </si>
  <si>
    <t>trả góp qua web</t>
  </si>
  <si>
    <t>0986020286</t>
  </si>
  <si>
    <t>https://drive.google.com/open?id=1IcTjd2yrCYV2FEB9NuCmcZsQd_YftgtS, https://drive.google.com/open?id=1HNPLKUYNPzSzub8f6Q5EAG9CZLOaFlDz, https://drive.google.com/open?id=1p5Um5zFND4qVGmuCFYcf7jgLDdGzh2By, https://drive.google.com/open?id=1Pq8D9pu2TWjtOZ_lsuS7ZEqQMWoUE5gF, https://drive.google.com/open?id=1KAUWOkRdLdGfPZYifwnIbg03w1_tLAYY</t>
  </si>
  <si>
    <t>Anh hùng ( Hoà)</t>
  </si>
  <si>
    <t>098 4127414
0974159991</t>
  </si>
  <si>
    <t>Ủ 61096</t>
  </si>
  <si>
    <t>https://drive.google.com/open?id=1oXdEwW53nU_kTwpTzP05Sfv_yj41NMVY, https://drive.google.com/open?id=1DBeT3Cy62HNir6IDtQPej27xf9nao8Ps, https://drive.google.com/open?id=1C2AoK9gAx9dIa1OJRgUbtck2xpZIp-Et, https://drive.google.com/open?id=1qzigZGkWpJWK7r0x9k9pDa91IMVEfORo</t>
  </si>
  <si>
    <t>Đã hoàn thành</t>
  </si>
  <si>
    <t>Đăng dương</t>
  </si>
  <si>
    <t>0358719658</t>
  </si>
  <si>
    <t>https://drive.google.com/open?id=1zJCoYJEseqqnDlTLWhoN9ye12k8l6kkV, https://drive.google.com/open?id=1LIY_pSQxGb8IOYLZXa6TBB5MpzwpGwk_</t>
  </si>
  <si>
    <t>Ktv cảnh</t>
  </si>
  <si>
    <t>Cto pgp Ro 5640  5440</t>
  </si>
  <si>
    <t>https://drive.google.com/open?id=1BnytpRBvQNSuEQ__M5tW73QKoLXr0VLW</t>
  </si>
  <si>
    <t>Đã giao cảnh trả t sip</t>
  </si>
  <si>
    <t>Ông Lưu</t>
  </si>
  <si>
    <t>0913281013</t>
  </si>
  <si>
    <t>https://drive.google.com/open?id=1FusL2VnVhrN5f6enVeNKU2uIaGCm28gz, https://drive.google.com/open?id=1rN00ed19ZAzbFzNNZ1e2dNMAi8hu4EHU</t>
  </si>
  <si>
    <t>Chị lan</t>
  </si>
  <si>
    <t>0947598299</t>
  </si>
  <si>
    <t>https://drive.google.com/open?id=1z9IrGS-oM8E4XCi7hTHv3KegPIR7hXBM, https://drive.google.com/open?id=1JehUsDnqPQuGU8a0nYYue_-UkF9KFVw9</t>
  </si>
  <si>
    <t>A kiên</t>
  </si>
  <si>
    <t>0385392186</t>
  </si>
  <si>
    <t>https://drive.google.com/open?id=1sOwOGTwmBhTxpjCPF2dDl5oOv7z0wAWT, https://drive.google.com/open?id=1K_HL-GJC-S0ZnsPBDTDCelcaQt6HB9cQ</t>
  </si>
  <si>
    <t>27km đã ck</t>
  </si>
  <si>
    <t>Huy đỗ</t>
  </si>
  <si>
    <t>0904689094</t>
  </si>
  <si>
    <t>https://drive.google.com/open?id=1-c0X6raQvcTvFnEoZI9ngbzfFmtVGRpS, https://drive.google.com/open?id=1-znhPfJlukV8ke9wG2I9ic_mDkP9wuce</t>
  </si>
  <si>
    <t>Cô Nhi</t>
  </si>
  <si>
    <t>0335312667</t>
  </si>
  <si>
    <t>UR-61096H</t>
  </si>
  <si>
    <t>https://drive.google.com/open?id=1aijIv9rNbWxa_dU3el-uBxpsDdVStjQd, https://drive.google.com/open?id=1xX_dRaPU-CNFXlzlpbx023zKefafU9Nr, https://drive.google.com/open?id=1mcTSHS9Cu0qELCKXXeyyjJO9u3xvlV8D, https://drive.google.com/open?id=1moOPkXhKqpM8E9Urayp2neTNb_qo9jra, https://drive.google.com/open?id=1l5qLW-ht4-POgAiDmD3eyr_aCnTCDXcn</t>
  </si>
  <si>
    <t>102km di chuyển</t>
  </si>
  <si>
    <t xml:space="preserve">Nguyễn minh hoàng </t>
  </si>
  <si>
    <t>0768093017</t>
  </si>
  <si>
    <r>
      <rPr/>
      <t xml:space="preserve">https://drive.google.com/open?id=1A-_bkv6FkkpCQfy7uwgR59S9eoqnuY6U, https://drive.google.com/open?id=1muK0Gmv-s_nyplDRVfXNjDiDdaWD4WIU, https://drive.google.com/open?id=1bq6RixMWfqKI3yv3DHCOBlBOQR5ns1Wq, https://drive.google.com/open?id=1_m_kjN0NEspQG4zngdIg43vp7416sp3c, </t>
    </r>
    <r>
      <rPr>
        <color rgb="FF1155CC"/>
        <u/>
      </rPr>
      <t>https://drive.google.com/open?id=1ahVAQ53mKnGJ5Av9sQe8RDOxvUpkWBdN</t>
    </r>
  </si>
  <si>
    <t>Khách đã thanh toán chuyển khoản</t>
  </si>
  <si>
    <t xml:space="preserve">Trịnh Nhật Vũ </t>
  </si>
  <si>
    <t>0365851195</t>
  </si>
  <si>
    <t>https://drive.google.com/open?id=1dU21hN_IrwOz8NR5tkC3lNRde-ysp2Mg, https://drive.google.com/open?id=1zePmbXpkTqqoLR4MiA6Tcp7U95zUsgHb, https://drive.google.com/open?id=1VdmTT_xR9OjLkpy7w9E6T4-_iasn2Iwi, https://drive.google.com/open?id=1E4ztKnTDs5iI1XY7I_xmUpBI_ycLvEru, https://drive.google.com/open?id=1mFYQiZUuG4BjNRVvgzL6bHZagkH9__TI</t>
  </si>
  <si>
    <t>C vân</t>
  </si>
  <si>
    <t>090 3666449</t>
  </si>
  <si>
    <t>https://drive.google.com/open?id=1RZ_eFcEJpIWRu8j3KWoKIjDAiFY4Vzzd</t>
  </si>
  <si>
    <t xml:space="preserve">Vũ Thị Lan Anh </t>
  </si>
  <si>
    <t>0779025805</t>
  </si>
  <si>
    <t>https://drive.google.com/open?id=1BgO8F0SPc8zYZ0IrtRAQGakU8fNl3Az5, https://drive.google.com/open?id=19MYdG5vHx60FXxvI8GZZf11ADMPgilbp, https://drive.google.com/open?id=1JCKnJIeymlj8kQIJ6GQT2RG2rO7qSbCa, https://drive.google.com/open?id=1LCmDS4mJY3X3iAgEcxfYXoI_yRSs4wCc, https://drive.google.com/open?id=1NvJqHS-WBhbs4Hs_n0jCkisInipFokXP</t>
  </si>
  <si>
    <t xml:space="preserve">Thay lõi CTO, PGP </t>
  </si>
  <si>
    <t>Huy</t>
  </si>
  <si>
    <t>0963972285</t>
  </si>
  <si>
    <t>https://drive.google.com/open?id=1lmpgzcmCMKotLVNWIj7KBBSL30AZZ8r2, https://drive.google.com/open?id=17adekaw5eEWK0hs_0QWUvZ8OZ24bau2L, https://drive.google.com/open?id=1ht7vUd6ia-N0FYABghowPsNH22MHfM6T, https://drive.google.com/open?id=17ZfAjazoFismgzZrdK_Le_4KzEyy1tns, https://drive.google.com/open?id=1aU-HKMYF6EiBiMoO5U_upLcE4wyFdu3L</t>
  </si>
  <si>
    <t>Nhi</t>
  </si>
  <si>
    <t>0932678991</t>
  </si>
  <si>
    <t>https://drive.google.com/open?id=1HXlV_TOfHRdDo1f17AdFPgKOWI2ARU8_, https://drive.google.com/open?id=1zDR-l7ltk0Or8p2jHO8rACKIkDGtNco5, https://drive.google.com/open?id=1jlc4ve-rFjZmMf8WpwKqJIzI1JMHRIzY, https://drive.google.com/open?id=1LMXLMNon_DFd8vB9OBc42Z44O1V0S-BJ, https://drive.google.com/open?id=1-Mcoe0DiSsLP_Ri-MO1gq2um80XmNogx</t>
  </si>
  <si>
    <t>Vũ Đức Quyết</t>
  </si>
  <si>
    <t>Kim Sương</t>
  </si>
  <si>
    <t>0938308909</t>
  </si>
  <si>
    <t>Máy UR5676</t>
  </si>
  <si>
    <t>https://drive.google.com/open?id=1t290_xCgKjzqVlDs64Ze_mRt4IDm58by, https://drive.google.com/open?id=12TIBe1Q0zc4w5JvOuN1XO3UZN6oSQm1n, https://drive.google.com/open?id=1Qo1C9U016Ub_qcrQbQLMSMKJvVfjdPLL, https://drive.google.com/open?id=1qtrOQWUmw9WB0WoPBXYG5qSiam55A2sM, https://drive.google.com/open?id=1RivaIE4WAAkGyOG8rODgkvVokFUVSilW</t>
  </si>
  <si>
    <t>KTV Vũ Đức Quyết lắp đặt</t>
  </si>
  <si>
    <t>Chị Khánh Ngân</t>
  </si>
  <si>
    <t>0908531998</t>
  </si>
  <si>
    <t>https://drive.google.com/open?id=1dO0ZK0eQ90f5RmFh-4IfKjybfDdedArN, https://drive.google.com/open?id=16qxES0qNrMKvypV4U6bkWApoksMay9rv, https://drive.google.com/open?id=1QX4EOqHkkctfryACHL-FgLDLp9F3zAzU, https://drive.google.com/open?id=1kXdH1yfNofXlwaD5nDfnsHOQhIiezgWy, https://drive.google.com/open?id=1CnhPC1szJY8GbPcdBfe3_JPFeTTSfjCw</t>
  </si>
  <si>
    <t>đã thanh toán</t>
  </si>
  <si>
    <t xml:space="preserve">Phạm Hiếu </t>
  </si>
  <si>
    <t>0985548877</t>
  </si>
  <si>
    <t xml:space="preserve">Pgp+CTO </t>
  </si>
  <si>
    <t>https://drive.google.com/open?id=1cRwmQAm7OSq62fUgLDmaQLjhKD89DcEU, https://drive.google.com/open?id=1j2zOR5gK09NrItFlzAMFxgl6cD2fx7bG, https://drive.google.com/open?id=1Akd7jPiDVJxrVOqQK_7SPLFsVkxiH9Lj, https://drive.google.com/open?id=1ouZZG98lgHmX6foY9Au2uYSGE57hyBUk, https://drive.google.com/open?id=1-7ma3dSMZB5guR0QQ0e1CMTT4HCcGN2O</t>
  </si>
  <si>
    <t>15km</t>
  </si>
  <si>
    <t>Vòi 00511</t>
  </si>
  <si>
    <t>https://drive.google.com/open?id=1uFSwOPwr0DjQlUZuxQ1DAq4tnjsPxhpe, https://drive.google.com/open?id=119VQKEYHaoVMyAsjJYPU2pitwfHBQJaI</t>
  </si>
  <si>
    <t>Nguyễn nam</t>
  </si>
  <si>
    <t>Pcb 61096</t>
  </si>
  <si>
    <t>https://drive.google.com/open?id=1MruHbiSbTrmLtLwOJ0ADcbS5gIn7Ch0r, https://drive.google.com/open?id=1bgdiqhRmGis676-hahN1FA4KV4mdFqGl</t>
  </si>
  <si>
    <t>Quỳnh quê</t>
  </si>
  <si>
    <t>https://drive.google.com/open?id=1vQJbh1TrOseyBKsrJCAqeAn6pRh0ShjJ, https://drive.google.com/open?id=18r0xq-cuUummROOeKUrVb-t017h-4cSl, https://drive.google.com/open?id=171xrPoOXbqibfhW2P761X-7ifzpWb5xK</t>
  </si>
  <si>
    <t>Đã tt tiền cước 73 k cho 3 đơn hàng tặng</t>
  </si>
  <si>
    <t>Đức hà</t>
  </si>
  <si>
    <t>0938896838</t>
  </si>
  <si>
    <t>https://drive.google.com/open?id=1QE-SVqEB9QJiexYWIdpQ9EXJmwED6Wlz, https://drive.google.com/open?id=1_e2c75xxePsBm0ntR9KFL_ZJDs4zG4X3</t>
  </si>
  <si>
    <t>0985899938</t>
  </si>
  <si>
    <t>https://drive.google.com/open?id=168_myh9lCOkNeFk7f94j19qWnvimu9Di, https://drive.google.com/open?id=1ztE-2QWgU-_y3D9YPO-iDOzrkMQu3zm3</t>
  </si>
  <si>
    <t>A Việt</t>
  </si>
  <si>
    <t>0859999569</t>
  </si>
  <si>
    <t>https://drive.google.com/open?id=1xhwZB6g0gnLyicQttUW3tOsEvvowWulN, https://drive.google.com/open?id=107CN6FHNKngNA2M0o5YV04_W6cEP1P7E, https://drive.google.com/open?id=1SCFPKH8NNvqHBKdbxIgoqOfe4iFDsocd, https://drive.google.com/open?id=1bNhUuahUZFzsM_SZgGTdMlY3fuY6RrXS</t>
  </si>
  <si>
    <t xml:space="preserve">Chị Thủy </t>
  </si>
  <si>
    <t>0917264286</t>
  </si>
  <si>
    <t>https://drive.google.com/open?id=1GDChhJCyeIMC1lnicLy8o7MAdlTyQWSp, https://drive.google.com/open?id=1utQ2j2MCjJtZbZnk1C41WqQSnx1oa6Wj, https://drive.google.com/open?id=1EhfkdLJzuOPVHg6FzW7t2L4-NEGAoT8I, https://drive.google.com/open?id=1OG5CgopLDZzGfo7LU_d73eaWPDZ32Lti, https://drive.google.com/open?id=1vXSJ6C_Ec-JqO7amDotlSc1orDhODME-</t>
  </si>
  <si>
    <t>Tiền mặt, đã đưa Mr. Nguyên tối 23/2/26</t>
  </si>
  <si>
    <t>Chi phương</t>
  </si>
  <si>
    <t>0983343121</t>
  </si>
  <si>
    <t>https://drive.google.com/open?id=1PCEoHLuFGwjZHmQxA86_ZmFJUv8Yn_CS, https://drive.google.com/open?id=1634VprKAkstVJRc2eip6xXgIuizRHAY5, https://drive.google.com/open?id=1YLFK1DsgjaqV3WFOLIQLMHZhpEurJpTo, https://drive.google.com/open?id=1rY3-ooSQXz_lX-FJf9PDKGe--J4TwTPH, https://drive.google.com/open?id=1S7mw4ihsiiiKIECPwSc4QArgQonnLQCn</t>
  </si>
  <si>
    <t>Cây số =32km</t>
  </si>
  <si>
    <t>1398223091200378</t>
  </si>
  <si>
    <t>A long</t>
  </si>
  <si>
    <t>0984886488</t>
  </si>
  <si>
    <t>https://drive.google.com/open?id=13saLiMmx3hQs7DWXk826c5qEOOckWPUv, https://drive.google.com/open?id=1Zzh7b5WBfI8mpG9zSpZWcWHtO_1FvtJi</t>
  </si>
  <si>
    <t>Đã gửi hàng</t>
  </si>
  <si>
    <t>https://drive.google.com/open?id=1wuQmeHC-j9k86Z63E4XvZq3dm14AvjQG, https://drive.google.com/open?id=1o70vdc03kpoa3kAa-Io_PL53cmTn-1YJ</t>
  </si>
  <si>
    <t>Anh Trí</t>
  </si>
  <si>
    <t>0398048241</t>
  </si>
  <si>
    <t>https://drive.google.com/open?id=1FGbu2y6uyKGBPZyGJ9jmHIENJM86V5XT, https://drive.google.com/open?id=1jqsIu2rSK4KXqwHxANXIZvCtTpOUfsus, https://drive.google.com/open?id=1NXYgmEbbf26OLBsdxxa12Sj5uLEpFxCY, https://drive.google.com/open?id=102UHUAeXZtOG35WuwsiQ2dGsM8O-Thxn, https://drive.google.com/open?id=1zOsy4MdRcOj_esWdukS0SK7CpKhm0s6M</t>
  </si>
  <si>
    <t>Chi đào</t>
  </si>
  <si>
    <t>0933357168</t>
  </si>
  <si>
    <t>https://drive.google.com/open?id=1jBPkRZ1RjgCJc_ugFYESIqiQgHnTmXJn, https://drive.google.com/open?id=1agN9n-vJGE4PlRrJLZu9_jFrV3f9LvQx, https://drive.google.com/open?id=16UbnTaF3MLkRhIztiHoGgpnTiQBtkWPF, https://drive.google.com/open?id=1T0xMCbNboIhMDAfYmLmJ9xOdTHvDSCUe, https://drive.google.com/open?id=1SvP3i2bFDON2Ws4UjA2en1xU_b2xw7KR</t>
  </si>
  <si>
    <t>Thay pgp+cto 58</t>
  </si>
  <si>
    <t>A Bình</t>
  </si>
  <si>
    <t>0963374499</t>
  </si>
  <si>
    <t>https://drive.google.com/open?id=13qu3YB6Y0IapldTMZ84ROBtFCTYG_8P6, https://drive.google.com/open?id=1ITUZmidxuNJ4G_mboSBqqiD9MaEoAm2G, https://drive.google.com/open?id=1DWqTR9DIjBjkzY_io-fyfltKFBkmXMvn</t>
  </si>
  <si>
    <t>0854773999</t>
  </si>
  <si>
    <t>https://drive.google.com/open?id=1xIAxjN2jJipHlIO-waavL7cQIAiQC_3Z, https://drive.google.com/open?id=1CsRk8EYfm9ZQeC8eqRS6YevCi8O2ZmaM, https://drive.google.com/open?id=13Kh9jGnpnZbGodmiwqTfiYgLnUpD2xts, https://drive.google.com/open?id=1c94LYWrgAk1yX8YU-no5hswr2ILr0gBs, https://drive.google.com/open?id=1Y2la-2Ra44gNb2QHwZCH2zL5hH9t1e8V</t>
  </si>
  <si>
    <t>0943168907</t>
  </si>
  <si>
    <t>Pgpcto 58</t>
  </si>
  <si>
    <t>https://drive.google.com/open?id=1kk5qhRt0eR16Vuk2ueX-9NMVfrgWAMt-, https://drive.google.com/open?id=1o5GKoDaIsseJdMPdb_jPOKKgC_gW0e5h, https://drive.google.com/open?id=1_eayUX0OS4pZkiw0R9Nq-HrCigdcU-uD, https://drive.google.com/open?id=1dTg7Pp_v003hjn0QLyz6eZgNIA7QV3QO, https://drive.google.com/open?id=1OHVPdrQ87dhXfkzmc1cQBQlQR4Bsv6iJ</t>
  </si>
  <si>
    <t>Dũng</t>
  </si>
  <si>
    <t>0989042353</t>
  </si>
  <si>
    <t>https://drive.google.com/open?id=133aGnfhg_8bUTBM0XHySkMeScakHKD6v, https://drive.google.com/open?id=1vAC6GJ-H6czJP-pnMcRm5qu364vqBKhw, https://drive.google.com/open?id=1HPAarSHeCt88ge1LaTslvdmETH9Outwt, https://drive.google.com/open?id=1rzmROupm4eWXTJjHPiXo6AFiz4xon8uF</t>
  </si>
  <si>
    <t>Thảo</t>
  </si>
  <si>
    <t>0909838597</t>
  </si>
  <si>
    <t>https://drive.google.com/open?id=1ywOY3I0_-KVGFWLY-dBST2vjcs5M6vMZ, https://drive.google.com/open?id=1ay1xFUTYmF1zqtXYRcSMei6cJWIbwwJu, https://drive.google.com/open?id=1Xx1D0L192CqXZpjhqcPbnVrlkCZLbnkO, https://drive.google.com/open?id=19UnVE4xxk2GeaVDpgr6j4WeW7nz0AhKC, https://drive.google.com/open?id=13fTnrlHKezoQX2oUHU_TW4RlquAePioU</t>
  </si>
  <si>
    <t>0962191560</t>
  </si>
  <si>
    <t>https://drive.google.com/open?id=1rz2eOQ7yThnAuz0lt8iPy6_V8Od-AQPG, https://drive.google.com/open?id=1p8wRL0qO8MxfZy4Wxy8cNpRe7UdXDFcY, https://drive.google.com/open?id=1UMLJsI_cV9AHUrc0NNyb2d3oRSqdscZm, https://drive.google.com/open?id=1-XV6zzQ08gGyutb0xM1oP_CPz2xuqJ0V, https://drive.google.com/open?id=1iSR7dB2y4wHYctfYTH3sIereUI6NF3xZ</t>
  </si>
  <si>
    <t>Nguyễn Tấn Viên</t>
  </si>
  <si>
    <t>Chị Diệu</t>
  </si>
  <si>
    <t>0348774503</t>
  </si>
  <si>
    <t>Quảng Ngãi</t>
  </si>
  <si>
    <t>Máy Hot UR61096H</t>
  </si>
  <si>
    <t>https://drive.google.com/open?id=1JGMJaO3GC5wgJEdRrTyFxfvB3Kj09t9A, https://drive.google.com/open?id=1sniwn2lHMNo9kN6jXwhNLk99EzaO-FRM, https://drive.google.com/open?id=1oFwUbdB3vQNpT8MWxidmw2d4aAQXPbNW, https://drive.google.com/open?id=16-jtMUIx0gOrRTPHWQgjhjIL_mbUC4y5</t>
  </si>
  <si>
    <t>ĐI 2 lần</t>
  </si>
  <si>
    <t>0979998989</t>
  </si>
  <si>
    <t>Pgp + cto 5840</t>
  </si>
  <si>
    <t>https://drive.google.com/open?id=18ByHVyq6GtkEwvRtfpaxufJorqIpTEky, https://drive.google.com/open?id=1s8hABpou7udrCpyLKLLJnEWIcbg_0_-n, https://drive.google.com/open?id=1t9rYWD2xgvanooKcXcOu4b2QleeD8R15, https://drive.google.com/open?id=1KvPz8L3RMmgMirEbsE2Wi8HKG0JX4Rz4, https://drive.google.com/open?id=1lr9Rr5uM7dM5xxAKYIVDX34aXV4_8Hox</t>
  </si>
  <si>
    <t xml:space="preserve">Phạm Hồng Thế </t>
  </si>
  <si>
    <t>0915993745</t>
  </si>
  <si>
    <t>Thay PGP+ CTO</t>
  </si>
  <si>
    <t>https://drive.google.com/open?id=1hIboJa4u-ObnER-WL4yVQDNho9QvXlpl, https://drive.google.com/open?id=1wRVC6wPRdOvzt_MMJHbcD2ew1Ltin5ak</t>
  </si>
  <si>
    <t>KTV Chính đã hoàn thành ca thay lõi lọc PGP và CTO Delica5640</t>
  </si>
  <si>
    <t>0918884945</t>
  </si>
  <si>
    <t>Pgp+cto 56</t>
  </si>
  <si>
    <t>https://drive.google.com/open?id=13Sy-joDXkvKNN4Jm3Ysn4I6sKJLQXQB3, https://drive.google.com/open?id=1NsaLL_-kiZpDnQNclIC5xqc47WC4qExw, https://drive.google.com/open?id=1Hq6lUzJldSI77E67CSRTpl8CKj-EXNn7, https://drive.google.com/open?id=10FQ01rGvtSmmEG4Lxg4zmzeKHiJPt17C, https://drive.google.com/open?id=1NA27sUDePRn9DcAERSVPtbOqPiRuTtWK</t>
  </si>
  <si>
    <t>Pgp vs cto 56</t>
  </si>
  <si>
    <t>Chị chi</t>
  </si>
  <si>
    <t>0902832309</t>
  </si>
  <si>
    <t>https://drive.google.com/open?id=1nbITvMRiZxLjFOMj6cGO0cDVJei3qpli, https://drive.google.com/open?id=1MW3hOfEGG0AKepRWofj6m5KzuN8MdJZn, https://drive.google.com/open?id=154Fw8hr00MQPsJbqrNUHk6460pFL9gtF, https://drive.google.com/open?id=16Xz4QlLh1OYuSw9KCkrgLq7MpraZuX2u, https://drive.google.com/open?id=1Zi1F8gjWBHfGv5H0_Md-g8YuGxFPMVZe</t>
  </si>
  <si>
    <t>Chú phát</t>
  </si>
  <si>
    <t>0908359039</t>
  </si>
  <si>
    <t>Cto 5840</t>
  </si>
  <si>
    <t>https://drive.google.com/open?id=1HCZj_sFG1XFg8qLk2LqKYrVVkQtttRvF, https://drive.google.com/open?id=1MmTjLA5WQhwWwuQTExyYi4ha35beKldp, https://drive.google.com/open?id=18G9JzKyB_vcG_xU7dDexrENvwiH_AIXO, https://drive.google.com/open?id=1uxQypp-N70p3z27PTqf1Dj3OeK6W2RYj, https://drive.google.com/open?id=1rCoUU000zdp4Yt8csC1n0cjbbeb4q9HP</t>
  </si>
  <si>
    <t>Không thu tiền khách hàng . Chị Hoà thanh toán sau .</t>
  </si>
  <si>
    <t>Chị Huyền - thôn Hoà Thành - xã Khe Sanh</t>
  </si>
  <si>
    <t>TRULIVA-UR61096H</t>
  </si>
  <si>
    <t>https://drive.google.com/open?id=1lPrtb-CMA1Dr8w3ZSM7GtjdoWvHpZe3i, https://drive.google.com/open?id=1egO8A3iQqjoYjAKyovX00Itm6KevWCvB, https://drive.google.com/open?id=1xc1NUrQSNAWujuXdmpHxXP-2Ciw4Tt5T, https://drive.google.com/open?id=1VgTqIC8oucOlEdy6d2qAMaKL--jPWplV, https://drive.google.com/open?id=1kBbS6lAyknsEuZdO2wtH1YrBdHGHpN-L</t>
  </si>
  <si>
    <t>Khoảng cách đi+vê: 80kmx2=160km</t>
  </si>
  <si>
    <t>Quang thuỵ</t>
  </si>
  <si>
    <t>0942354295</t>
  </si>
  <si>
    <t>https://drive.google.com/open?id=1fqNVR7TfO9USrZ1EPfAToa41UF_AmwKS, https://drive.google.com/open?id=1bR1VIV8YmH57E7MZmwMWJdG01C7rtK_L</t>
  </si>
  <si>
    <t>Đã giao qua viêtpost</t>
  </si>
  <si>
    <t>Hiền lê</t>
  </si>
  <si>
    <t>0942102628</t>
  </si>
  <si>
    <t>https://drive.google.com/open?id=1dJiAXao0E5SEW8-gqrvphUX_YiV0ZPwY, https://drive.google.com/open?id=1g6Z9oxmnau9zWnK0AAYsE9vxJaWIuD2H</t>
  </si>
  <si>
    <t>Võ vân nga</t>
  </si>
  <si>
    <t>0912022468</t>
  </si>
  <si>
    <t>https://drive.google.com/open?id=1y_mdOILAgjJEA3ZqnjYWHQWzEGqe7dRB, https://drive.google.com/open?id=14_XydsPHC_d1ptj4Dc2OBJpDsJmVVPhe</t>
  </si>
  <si>
    <t>A nhân</t>
  </si>
  <si>
    <t>0989511455</t>
  </si>
  <si>
    <t>https://drive.google.com/open?id=1zomQbmJLk751cn5aMFGxhqzFXXnoV-WK, https://drive.google.com/open?id=17eR2xWxd408aB38yJca8cPCD5-zUG2ZS, https://drive.google.com/open?id=1We2JF1eolFwCaPsq6y9Ftd542ewoa1wX, https://drive.google.com/open?id=1MJUSyuMGkNuyz1hsmnW4ySqqPdmJ0WbE</t>
  </si>
  <si>
    <t>F</t>
  </si>
  <si>
    <t>A Âu</t>
  </si>
  <si>
    <t>0935277872</t>
  </si>
  <si>
    <t>https://drive.google.com/open?id=1utYmSHPfVCDQnHwxcom0zSN3g1hykKAQ, https://drive.google.com/open?id=1QqwwoWkgR4K5AGsGaZQJf1YULtpZYMXA, https://drive.google.com/open?id=1Zx7U13JPybLSIkkcqR1D7LoMkHjowVYl, https://drive.google.com/open?id=17D6ce9QWSegv9jeNA_fMbsrlP194A1J4, https://drive.google.com/open?id=1kP7cGC3tGoWvuM52JWxlKj1EWVaMPOiE</t>
  </si>
  <si>
    <t>chị Hân</t>
  </si>
  <si>
    <t>0933494164</t>
  </si>
  <si>
    <t>https://drive.google.com/open?id=16e_WXwnl0E0ffGCxac-IDMcafbQxhFLL, https://drive.google.com/open?id=1cqtabcnYTb7RyPEW0T7bdouxlEtK-cmX, https://drive.google.com/open?id=1c1LYt1agKQMv6UyJiRdvqxNkZAUf28zK, https://drive.google.com/open?id=1v9xPwUQXrmP-GypmnBchM7b153CDnACZ</t>
  </si>
  <si>
    <t xml:space="preserve">thay lọc </t>
  </si>
  <si>
    <t>anh Quý</t>
  </si>
  <si>
    <t>0385899219</t>
  </si>
  <si>
    <t>https://drive.google.com/open?id=1Z6ZZ6NuMo9BT-xQl1F5EsqAUvkUJZGvU, https://drive.google.com/open?id=1juhDxf4T9801QPdCmu5VYK00hmMf94hW, https://drive.google.com/open?id=113enxurf8cLzMPtNKt8TUZOhxESO18_L, https://drive.google.com/open?id=1lDZFLp6dAk5JCEARb7iwIZhZ6OUrxdHB, https://drive.google.com/open?id=1pWAhFVuBb4oQvR0imjRMahiRKQDfA6dH</t>
  </si>
  <si>
    <t>pgp cto 5440</t>
  </si>
  <si>
    <t>chi Thuy</t>
  </si>
  <si>
    <t>0777074794</t>
  </si>
  <si>
    <t>pgp cto 5840</t>
  </si>
  <si>
    <t>https://drive.google.com/open?id=1O8xoa6imFO2ruX0SIsRJMRTeYFWKEfh9, https://drive.google.com/open?id=1unLevAYygJ-IRKHzXavgdJvxIMWPw0k6, https://drive.google.com/open?id=1EaKCuWywhQwoK-2tPEQd2pSprO1oLbSR</t>
  </si>
  <si>
    <t>thay pgp cto 5840</t>
  </si>
  <si>
    <t>Nguyễn Lương</t>
  </si>
  <si>
    <t>0903560699</t>
  </si>
  <si>
    <t>https://drive.google.com/open?id=1qx2Wr87pox6moikKgXoc9EVUDEIhsh2e, https://drive.google.com/open?id=101JrP6eVrpQ_wc6OJJaIt9fAnoqjiBfc, https://drive.google.com/open?id=15N84qyEFKPbrb3t5OcrR8UyWsw034p3C, https://drive.google.com/open?id=1QnyuCD-dlSvFPK5KkAM57qY7J0JPQJON, https://drive.google.com/open?id=1aphSSoiZgDNLxq_naocHhKVxsC-5_EQv</t>
  </si>
  <si>
    <t>Nguyễn duy hưng</t>
  </si>
  <si>
    <t>0978426264</t>
  </si>
  <si>
    <t>U R61009</t>
  </si>
  <si>
    <t>https://drive.google.com/open?id=1O_9QSkQtztGKQj8NQ0Y-7GsBeMUNUzZ7, https://drive.google.com/open?id=1NXmFMJWC1CfnXwUXH7aYoOV7CF7TU2wf, https://drive.google.com/open?id=1glMg0tGnA3Cm_7eqEroB2knu8R9tmBzQ, https://drive.google.com/open?id=12SkVRddMnngPRRpNmocn2ANt9I2MF9Er, https://drive.google.com/open?id=1-nhsUk4pPQh8r2mpjZ3vDoFWnqXTI6zz</t>
  </si>
  <si>
    <t>Cây số =120km</t>
  </si>
  <si>
    <t>Chị Thảo Diễm</t>
  </si>
  <si>
    <t>0368477526</t>
  </si>
  <si>
    <t>PGP và CTO máy Delica UR5840</t>
  </si>
  <si>
    <t>https://drive.google.com/open?id=1F7gl0qD-deoX6FqFxB4R5mYnVHFENb6d, https://drive.google.com/open?id=1O2kzMA5PSmnPpvg0QWjE01omyzRqAiAh, https://drive.google.com/open?id=1VO44wfnI1bmRLfC8M4GSHFIVSGzVNzQD, https://drive.google.com/open?id=18gi2sDGvdzZkS50399FQiVPk-9oX9ehH</t>
  </si>
  <si>
    <t>0825158225</t>
  </si>
  <si>
    <t>https://drive.google.com/open?id=1P7WpQc4xWZjDO9eX2fPCAYmcHCrmptz1, https://drive.google.com/open?id=1yIX0SfKwG57D0KE3vDeoPwyQg9FZrG-a, https://drive.google.com/open?id=12YjJJ0n86Dz9WisUqDh5B4Z_8ovm8k6e, https://drive.google.com/open?id=1sCY7T-3lAczz-ylEArHcMrTiTzmWCJhM, https://drive.google.com/open?id=15BmhBI6XKjB96jgL9jdkXEu08BZxmBNa</t>
  </si>
  <si>
    <t xml:space="preserve">Chị Nga </t>
  </si>
  <si>
    <t>0988739835</t>
  </si>
  <si>
    <t>máy delica ur5440</t>
  </si>
  <si>
    <t>https://drive.google.com/open?id=1jWUDxgBseQAIiIlnd_z6S0XXYGB0p7iw, https://drive.google.com/open?id=17-kpy8CidAb2e0lVhwdvNmxO0F8LIAY3, https://drive.google.com/open?id=11nEPvfaVqp8cheHixllKwc20sai0_OcV, https://drive.google.com/open?id=11YlWuxBZA1xSNxDq9JdxEUUbYIsN_ZZ2, https://drive.google.com/open?id=1pJAw8b7Y3CIQDQtUS8qheFe9yXtG2zRn</t>
  </si>
  <si>
    <t>Anh Đức</t>
  </si>
  <si>
    <t>0362487297</t>
  </si>
  <si>
    <t>https://drive.google.com/open?id=1kiQ3ibGPsmpmbq9RRlSsakXBNB85A2el, https://drive.google.com/open?id=1kTbyPdEyvBRcZDomVHoMScmL8o3931Qb, https://drive.google.com/open?id=1QT6674F858Pn9YhaPLv4XpSAcbCqqPDh, https://drive.google.com/open?id=1RMl8wKVsQNzNm40XrI_jz0GscMZtH8xi, https://drive.google.com/open?id=1KY3-QQ8d_h5xt0j5g5l73eeMN31ItGZS</t>
  </si>
  <si>
    <t xml:space="preserve">Thảo Diễm </t>
  </si>
  <si>
    <t>https://drive.google.com/open?id=1-UetmIcfOtwMSWONK4--B3aYcZU7r1rL, https://drive.google.com/open?id=1w0ksI3aRIRTjRs40KP5F7DXBgL4wvfq1, https://drive.google.com/open?id=1CctWpr-__iqmxOZBGGqWpZd_XsvWcPEe, https://drive.google.com/open?id=15gbY3YKqqaf7DApN_3boDi4uDG1wNtl7, https://drive.google.com/open?id=1WOb7wuUYMpv3b8q5PSagMQTL4-ssOQL2</t>
  </si>
  <si>
    <t>Thay pgp và cto</t>
  </si>
  <si>
    <t>0939281651</t>
  </si>
  <si>
    <t>https://drive.google.com/open?id=1g5dTwVytVZrfGO1A9B-dJNxRdXpOGEyH, https://drive.google.com/open?id=1NyCVZFCrm-zLNYENHysJr3k11OyAKfQM, https://drive.google.com/open?id=1wllgUlrX1MkpyZtnvgGmycFfTPq1xk_u, https://drive.google.com/open?id=1UjZHW3J815Iqni_Hfl_6Xiqh5Eew81og, https://drive.google.com/open?id=1BRj3s5AAoCk1dQ4iyfbLEIQwZVxJ62EG</t>
  </si>
  <si>
    <t>0866840938</t>
  </si>
  <si>
    <t>https://drive.google.com/open?id=1JaqXRa3qx0AY50d_QVibBqLM9tXDYoWJ, https://drive.google.com/open?id=1o1TRFbzSvnC8xSPV6ScDuPJDZslOevjH</t>
  </si>
  <si>
    <t>https://drive.google.com/open?id=1HRn1GdP7JIhuJO0IM88HrwDBThesM1vy, https://drive.google.com/open?id=14vUhCD5YiPrbkdxxarfuo0eoWgxTsnIK</t>
  </si>
  <si>
    <t>Hiệp</t>
  </si>
  <si>
    <t>https://drive.google.com/open?id=10Nnu1EpZmKv7g1OFMqHVM_DeVMwWUrkD</t>
  </si>
  <si>
    <t>Chị Thuý</t>
  </si>
  <si>
    <t>0938723079</t>
  </si>
  <si>
    <t>Pgp+cto 5840</t>
  </si>
  <si>
    <t>https://drive.google.com/open?id=1FvTlurt0aYSKScIXLgaBm3XkCna5o94h, https://drive.google.com/open?id=1U3SfTevGZDK-iKwdcOw26ydgOLV8zZc7, https://drive.google.com/open?id=1RILOx2uZnEhL56l2XXzPN_GDIH-klr1l, https://drive.google.com/open?id=1baR3nmxSrUGWJZXaH4JgQ761SouiAQlo, https://drive.google.com/open?id=13eitDLcdb_JGfVReBEzPxKisBeirpFO5</t>
  </si>
  <si>
    <t>Pgp+cto 58</t>
  </si>
  <si>
    <t>Kiên</t>
  </si>
  <si>
    <t>0833594998</t>
  </si>
  <si>
    <t>Pgpcto56</t>
  </si>
  <si>
    <t>https://drive.google.com/open?id=1Te9jxic20JiQN8X4gi-9c5YyaPZ6UI0_, https://drive.google.com/open?id=1fpMmsstdRnc6IpfNhzDwH_dWSPZwbunB, https://drive.google.com/open?id=1X1FzRxrMfQIG_WCx1-hGhkQwyVn6xfQk, https://drive.google.com/open?id=13mAXqkG8AKpW3Z7oAS9ab0W9C2o4RCqy, https://drive.google.com/open?id=1S9-fWXcBKtxT5BMmH-NIkrypZT9t6NRN</t>
  </si>
  <si>
    <t>Anh Tiến</t>
  </si>
  <si>
    <t>0982331559</t>
  </si>
  <si>
    <t>https://drive.google.com/open?id=1Rz1lpz8c2xv7drlR_CGBziLCHmD_z0DD, https://drive.google.com/open?id=1ICrpHGYioQ-FeMgKIiK_6GetLwrn9yav, https://drive.google.com/open?id=1CqlthVxrF5LNvqyF4r1eDjt3zmETaxML, https://drive.google.com/open?id=134wmXbUnq95Ir4L8JsvOn0_evY8SUDBv, https://drive.google.com/open?id=1Iljv0QgkHEK1zomfnI6iLgg3Lc7D4UMG</t>
  </si>
  <si>
    <t>0919869969</t>
  </si>
  <si>
    <t>Pgp+cto 54</t>
  </si>
  <si>
    <t>https://drive.google.com/open?id=1Up6QUkFNbTvD9qxbr-v6k3pco5pFvX58, https://drive.google.com/open?id=1KC_ryJjI2nTcfDW04vnaqDAwyMlWmbH7, https://drive.google.com/open?id=1MbkZaNy2KjMsMIb11OC5BUZPF2Utd-vo, https://drive.google.com/open?id=1oEokyDk24aAHho4IRRM567z3VL7EiFNl, https://drive.google.com/open?id=1i8Ez_Vx8t2dGS4ETXXE7_PIlEbEWSoXn</t>
  </si>
  <si>
    <t xml:space="preserve">Pgp+cto </t>
  </si>
  <si>
    <t>Chị yến nhi</t>
  </si>
  <si>
    <t>082 3731959</t>
  </si>
  <si>
    <t xml:space="preserve"> Lõi lọc 58</t>
  </si>
  <si>
    <t>https://drive.google.com/open?id=1FZyY3j6aU_6bAaRhngcYPzRyCeZGGfFM</t>
  </si>
  <si>
    <t>Đã thay xong - khách thanh toán tiền mặt</t>
  </si>
  <si>
    <t>Chị Vân</t>
  </si>
  <si>
    <t>0907267477</t>
  </si>
  <si>
    <t>https://drive.google.com/open?id=15ONdtDK5dQlpCImhejJT3MwwzIzC_400, https://drive.google.com/open?id=1lXrNE0m0FszSf-6IGir7PQ4mH-Vk-S2s, https://drive.google.com/open?id=1K2ZexqWFhT9I8ML7VrQjS9sg_hHro9nV, https://drive.google.com/open?id=1YHhO-fq8Ynaoq7dR9-Vxs_LPxKt-Gr08, https://drive.google.com/open?id=1o4GTBGaTrC3RBpp_HrJBCS9Edqpsz9QJ</t>
  </si>
  <si>
    <t>0924736666</t>
  </si>
  <si>
    <t>https://drive.google.com/open?id=18puRIfAx2aPHRrjNKhFIcn37xEoLXpht, https://drive.google.com/open?id=1MCGUp2sRXHNFvYETQlyohrWAwpFns_q_, https://drive.google.com/open?id=1Llp39buojO5JyWBUqPaRfcvqi2PxQQLy, https://drive.google.com/open?id=1iF-LxonoRktF_fL7DtgBgYr8va378TaY, https://drive.google.com/open?id=1cYeCt-Qp-wTueUctlLjT_jsinzz1vJ8G</t>
  </si>
  <si>
    <t>Tăng ca+12km</t>
  </si>
  <si>
    <t>Trần Văn Huynh</t>
  </si>
  <si>
    <t>chị ngân</t>
  </si>
  <si>
    <t>0944100110</t>
  </si>
  <si>
    <t>Đồng Tháp</t>
  </si>
  <si>
    <t>https://drive.google.com/open?id=1UDkoOVLFHMZQKvOJUJ5B2s0brwgHGG67, https://drive.google.com/open?id=1AJhBQDValrUDV2__gpQtCJ76rjYHhiX4, https://drive.google.com/open?id=1qs3uotlupDhMBKngpPO_Nd_w_qH3d4-3, https://drive.google.com/open?id=1AVww0QeSve1Hnc9Pskh1XNBZh0BM74rO</t>
  </si>
  <si>
    <t>KH Ck</t>
  </si>
  <si>
    <t>Nguyễn Thị Hồng Hạnh</t>
  </si>
  <si>
    <t>0918595254</t>
  </si>
  <si>
    <t>https://drive.google.com/open?id=1UfFbB9GJlHv-6CLap4KrvmArW7uyORt9, https://drive.google.com/open?id=1CrhXofo_N5MuO7GzJU5O2aYP_T_K9tmI, https://drive.google.com/open?id=1Tnzu4I_v0W3I_IGgTzET-R7wjmF870ka, https://drive.google.com/open?id=1sDY-OsSG0STda9zSlB8s49Nw8za0HlqT</t>
  </si>
  <si>
    <t>1398230912000275</t>
  </si>
  <si>
    <t xml:space="preserve">Chị Chung </t>
  </si>
  <si>
    <t>0987038213</t>
  </si>
  <si>
    <t>Delica 56</t>
  </si>
  <si>
    <t>https://drive.google.com/open?id=1nPrrZ1B3dnCnc6LD28zvBXwb3QZamXBm, https://drive.google.com/open?id=1gyOeilJrvo22Dt53t3_ocSn-Og6tKH8R, https://drive.google.com/open?id=1jdo1c53sONblw_Jfecu-G2kFLlvAepYZ, https://drive.google.com/open?id=1P0pNb5lx_cZ2OA86u7NJ-ZGdD4IEw0Og, https://drive.google.com/open?id=11L56xGw0Q1nWFKTR-qDSqZKoyi8IduHm</t>
  </si>
  <si>
    <t>Thảo Nhi</t>
  </si>
  <si>
    <t>0936038474</t>
  </si>
  <si>
    <t>https://drive.google.com/open?id=15n-aXDQrtNEj0edEsBlvhW05DX41cCGj, https://drive.google.com/open?id=1Z5jnIqWrkwID3KQeYm215Z_Sjxg28BPY, https://drive.google.com/open?id=1kxlaUyhcWLO3Rutl-9l1DsBtO2AmnJ5Z, https://drive.google.com/open?id=1VVRe6R8HOumldal-ZpoRbaBr57hslwT2, https://drive.google.com/open?id=1nYL_2CY8oOblzAOS8Wrj3KxZBLi4BcmC</t>
  </si>
  <si>
    <t>Phương thuý</t>
  </si>
  <si>
    <t>0932380355</t>
  </si>
  <si>
    <t>https://drive.google.com/open?id=1Z4uHioe2rmn0ZS_dAzbSFXUQnXWx7j3_, https://drive.google.com/open?id=1p_qLisy4russad5PPVgeCnVoYDRv2TbX, https://drive.google.com/open?id=1MLQJjayWw0kKUk_dyl7juq3qi2jvOno6, https://drive.google.com/open?id=1H1eLJJEdibkBMCHh2PAJz94OS73XQDkq, https://drive.google.com/open?id=1KWvJkG3rzGNmXB1dPXOBexGFNytvsw_N</t>
  </si>
  <si>
    <t>Lắp đặt và hướng dẫn sd khách ck cty</t>
  </si>
  <si>
    <t>Dương xuân dũng</t>
  </si>
  <si>
    <t>0368274827</t>
  </si>
  <si>
    <t>Cto pgp 5850</t>
  </si>
  <si>
    <t>https://drive.google.com/open?id=1uyI4JCCmrnzrABd18RGavV0zm9XrkqRs, https://drive.google.com/open?id=1H0Yyd5m55ZLGk7juNY0mJ2mW12L6bG0W</t>
  </si>
  <si>
    <t>Pho anh</t>
  </si>
  <si>
    <t>https://drive.google.com/open?id=1Htz2k9r2sxJBkmA_q8ptgYHdk0Ir7mQd, https://drive.google.com/open?id=18bM0UzKs0NpVAOpmfc4eC0WyCYGpYewd</t>
  </si>
  <si>
    <t>Tô ngọc vy</t>
  </si>
  <si>
    <t>0966099996</t>
  </si>
  <si>
    <t>https://drive.google.com/open?id=1Iy2ogy2SY0Zfmizxo3sVmwU79apIwpx3, https://drive.google.com/open?id=12wjiug1cc4XgNvA7Pe0BNdhBWQIDhJFi</t>
  </si>
  <si>
    <t>Cto pgp 5840 + máy 61096</t>
  </si>
  <si>
    <t>https://drive.google.com/open?id=1gn1u4MVxT13b_cQqxPwboZ7Ya76qwGV1</t>
  </si>
  <si>
    <t>Trung</t>
  </si>
  <si>
    <t>0934158500</t>
  </si>
  <si>
    <t>https://drive.google.com/open?id=1nRWjXwROcKTx_aGANQrfgZP3uEoa9SKq, https://drive.google.com/open?id=1dvRvNfPcL0sRN8uqDo202icfDJSeveAt, https://drive.google.com/open?id=1tl9O5BDNIXthhBiXQ0NY7o1Iwr17cM_U, https://drive.google.com/open?id=1_9yvfUPJiVTaSFzPQXiwfYAa7RqjuKJm, https://drive.google.com/open?id=17ryOkkSJ_Vf91wPyF6HNSnkka2JyBdZg</t>
  </si>
  <si>
    <t>0768716460</t>
  </si>
  <si>
    <t>PGP + CTO + RO 5640</t>
  </si>
  <si>
    <t>https://drive.google.com/open?id=1DN2nXdzZDNhC8tHiOYEmTzIadAEVfBLJ, https://drive.google.com/open?id=1Jvgn3BY1PWthAoVKxrar2Kfklrqg6iDn, https://drive.google.com/open?id=1XzwDpwYxtZrU2qTt7LTBZvKAuwHfxQxT, https://drive.google.com/open?id=15Dj3IjduKGJNreAoPhhRTLlZVk2XL93f, https://drive.google.com/open?id=1warLHDyOFKJKXl8PL_p4th3ANgqKWCZK</t>
  </si>
  <si>
    <t>Anh Quyền</t>
  </si>
  <si>
    <t>0981508347</t>
  </si>
  <si>
    <t>Delica5840</t>
  </si>
  <si>
    <t>https://drive.google.com/open?id=1UZhEuh9ORo-krkCYg-o2FSDeNFwrYiKg, https://drive.google.com/open?id=1zuF8tulmzcMS86aTubwABgFG31CT8x_y, https://drive.google.com/open?id=1hL04KxquYEdovpNWlmjgdr5yynJFaXCU, https://drive.google.com/open?id=16sfq4gZo_sTV3oVW8KZ3btUQAp35UHne, https://drive.google.com/open?id=1LAd8-q-iYBWRyclZReMcBH_Q6kK0S2eX</t>
  </si>
  <si>
    <t>Chú Tốt</t>
  </si>
  <si>
    <t>https://drive.google.com/open?id=1lkkHErR7mw16IQjne5MU2c-Bqzumbbtr, https://drive.google.com/open?id=1whJsTxy7p1-f1n6HYo1X5xGl813vAR7T, https://drive.google.com/open?id=1fNGkw7FEsSUdQeP87P9zPg57iiZipXCK, https://drive.google.com/open?id=1fDu-_aW7Ql-ttPXUJ2vKQogkoz0I4Vs6, https://drive.google.com/open?id=18kZSN2a-uIfEmNjqnJedysqW5CleGjOC</t>
  </si>
  <si>
    <t>0938386864</t>
  </si>
  <si>
    <t>https://drive.google.com/open?id=1hWvO3VyRTdKsOsEXcuc8O7j-IKexE2ZF, https://drive.google.com/open?id=1D8zrmXg_ef8NuRpM3GO-kBz0GQKHIlWY, https://drive.google.com/open?id=11d1NvW6KWLBM_mCPlYYLV-5xy8VMtIx7, https://drive.google.com/open?id=1mZXHo8K-6aOyYCHEmOnYpKTKwluGB73c, https://drive.google.com/open?id=10-V40R6lftX3u0bYAq_rdvZqmgS_K-rH</t>
  </si>
  <si>
    <t>Nguyễn Minh Xuân</t>
  </si>
  <si>
    <t>0922222488</t>
  </si>
  <si>
    <t>TRULIVA</t>
  </si>
  <si>
    <t>bảo hành</t>
  </si>
  <si>
    <t>https://drive.google.com/open?id=1Wng-8b2JvX-z2HsuUkziT8z62QImF1W6, https://drive.google.com/open?id=1_ageAox-8er3NJBsLgDZdtndPSCYkkXx, https://drive.google.com/open?id=1x75F85x8agApK4wm35liXv-dgBhgCuDG, https://drive.google.com/open?id=1U1KT20BkvqIT74c8OIQcaeqkLMWEZTnS, https://drive.google.com/open?id=1NpBcVQ55gDzH6TOJVqoc6OlFG8G5CskR</t>
  </si>
  <si>
    <t>Oke</t>
  </si>
  <si>
    <t>Anh Danh Hà</t>
  </si>
  <si>
    <t>0985705699</t>
  </si>
  <si>
    <t>Delica 5440</t>
  </si>
  <si>
    <t>https://drive.google.com/open?id=1JY2zIyEZq9HqwriPCB_xVP-xc6cmukeZ, https://drive.google.com/open?id=19L6GjIEE4OMQogm_4VBOyNxuRQt5u1Le, https://drive.google.com/open?id=1bG8oSLieVEp3RYi361_k103zvzGBsnu3, https://drive.google.com/open?id=1nk7o4U7vh5HtDTlP0qgXceD8LFL5Z_lS, https://drive.google.com/open?id=1l0f2ToWtysTABvafAilLAS_Nxc47C3Kc</t>
  </si>
  <si>
    <t>Thay pgp+cto 54</t>
  </si>
  <si>
    <t>Ngân</t>
  </si>
  <si>
    <t>0336693377</t>
  </si>
  <si>
    <t>Tháo máy</t>
  </si>
  <si>
    <t>https://drive.google.com/open?id=19W7IYRdoRx-r6mJmX6jX4RMq3IdsqJBc, https://drive.google.com/open?id=188yaZY_SHS1I9o9TyKLU_51YA9z31LTj, https://drive.google.com/open?id=1jXoqj1heb7i2fQ920C9ejdjrF5y_ezHi, https://drive.google.com/open?id=1CfmCXV8FMa1sl8T2rnUnzvxq4vh0f7D8, https://drive.google.com/open?id=1znOq-Px6Q9mnvV6eZ9iPRYg4l5UfoMYI</t>
  </si>
  <si>
    <t>An Luu</t>
  </si>
  <si>
    <t>0903760851</t>
  </si>
  <si>
    <t>https://drive.google.com/open?id=14W_JG-7YikatCLuJY4n8DZF0_cVxBzpw, https://drive.google.com/open?id=1LwkgyG6bOCoeI6i-7gaZiq791o6mXF31, https://drive.google.com/open?id=1QX8SmYbRMkXtnRG0VvE602kfF4kRpLwa, https://drive.google.com/open?id=1pPNG2BdOP-AMmmt7MQuC2m-bfD7sEp5U, https://drive.google.com/open?id=1PUgaG_Cj0q0xGtdtPslXBkT9nK_p_bvO</t>
  </si>
  <si>
    <t>Tien mat</t>
  </si>
  <si>
    <t>Anh Thái</t>
  </si>
  <si>
    <t>0909072757</t>
  </si>
  <si>
    <t>https://drive.google.com/open?id=1Ok1d5Pei42ToQeoYVOi4zEq2rFD7fPjD, https://drive.google.com/open?id=1bggVlS5hZ7vlzJYXQUDNfHDSCT0tefY_, https://drive.google.com/open?id=1mtAwgytVEoX8oN3r9hNjyhlyDhZNvrDV, https://drive.google.com/open?id=1rjMw7hPYgK1kEIVH3cYg_kmKk7iGA1o8, https://drive.google.com/open?id=1H6QkewQuUsD9hQ89KffjoDBISNQcFspe</t>
  </si>
  <si>
    <t>Chị Hà</t>
  </si>
  <si>
    <t>0913444766</t>
  </si>
  <si>
    <t>https://drive.google.com/open?id=1S_ijuudbgQMbVJZwQzuwbqVWK34el56T, https://drive.google.com/open?id=13tSlo1t0PclXOsDk79Qq1TJJrBHKfni9, https://drive.google.com/open?id=1cp2tQx1STEaxb56j3Sr77xHJPVusJcdX, https://drive.google.com/open?id=15ZW68ZKudrXNBlXG0UffgyR3hJwg9tXx, https://drive.google.com/open?id=1w_eTiNngVQ9K2s2FJ2OYmfMG062UCFtt</t>
  </si>
  <si>
    <t>I</t>
  </si>
  <si>
    <t>Quang nam</t>
  </si>
  <si>
    <t>0975242325</t>
  </si>
  <si>
    <t>Delica ur 5840</t>
  </si>
  <si>
    <t>https://drive.google.com/open?id=12y3HzyDiRYSb1p0najQCPoXpRwgGVjq3, https://drive.google.com/open?id=1z29XHngpckOff_CLYaboT0koU4hk2_5k, https://drive.google.com/open?id=1hEpDW1rKFqOkg4KaP-W9-du4zib6kte-, https://drive.google.com/open?id=1a1ihhdmH8JJMHyh7oRwHV3x-Z9aLOlhQ</t>
  </si>
  <si>
    <t>Thu 1.405.000₫</t>
  </si>
  <si>
    <t xml:space="preserve">Đoàn Văn tấn </t>
  </si>
  <si>
    <t>0978146636</t>
  </si>
  <si>
    <t>Thay lõi pgp+CTO ur 5840</t>
  </si>
  <si>
    <t>https://drive.google.com/open?id=1oRLyBO2AB6et9d_KglQZSTGRom8aLNG4, https://drive.google.com/open?id=1uTTuTBA6Fej7Ph-iMWbY3p0COJJNK7G5, https://drive.google.com/open?id=1JIpuqsIlF55CcO-xFiL1BGZge0e6HbME, https://drive.google.com/open?id=1rKZdxXgNt-mw6s55JiwFz-eQh2RtV2Sc, https://drive.google.com/open?id=15GPYanKN3xRtkKzRaDW0TS09aLFSKsCe</t>
  </si>
  <si>
    <t>Tăng ca+22km</t>
  </si>
  <si>
    <t xml:space="preserve">A dương </t>
  </si>
  <si>
    <t xml:space="preserve">Bảo hành máy </t>
  </si>
  <si>
    <t>Rò rỉ đường ống</t>
  </si>
  <si>
    <t>https://drive.google.com/open?id=1BA5jBYhvYGA7OQgip07g9QnojM0eqrdi, https://drive.google.com/open?id=1x-BDy1ub4OurpPjbnEmtFrCCI0O1eEAo, https://drive.google.com/open?id=1Lrn90IOunqfaco50lvy289C7I_f7Xv87, https://drive.google.com/open?id=16hItDOo4RlC6EXaFUgmQkE12Ogh7iE2E, https://drive.google.com/open?id=1h0ysyQJavtYvW0QppM4Z9nLF1TpJD64d</t>
  </si>
  <si>
    <t>Quỷnh A Quarius</t>
  </si>
  <si>
    <t>Chất lượng nước sau lọc</t>
  </si>
  <si>
    <t>https://drive.google.com/open?id=1CM0pB_G2QuG6R8qZ7-0q5YyPjJQ5vugq, https://drive.google.com/open?id=1oF7fX8nqMwKBoDoY4QDGgmu8oTBAU6Cp, https://drive.google.com/open?id=1EFfaY0WJe8gwfao9_8pBfsCMEEid4oL2, https://drive.google.com/open?id=1RKgNkMGS0CkvWgLywAb_mQ06gWCjSjJG, https://drive.google.com/open?id=1qQxTdVF6IYjj_cplajSYjcTP6ayWFWrd</t>
  </si>
  <si>
    <t>chi Phí Trạm Báo 300k</t>
  </si>
  <si>
    <t>Rò rỉ bên trong máy</t>
  </si>
  <si>
    <t>https://drive.google.com/open?id=1z6aRBeDF8I9JyUv9WP0O7s-1xfAbgmj3, https://drive.google.com/open?id=1f2RHYBv8iJyq3rPVElECgotQni7hEYzA, https://drive.google.com/open?id=1mJ0y3Q-EZA8me380pDP_kXPZBm3MfNFS, https://drive.google.com/open?id=10Q-BMe807dL-rT2durzw_F4DEe9HN0H-, https://drive.google.com/open?id=1iZeIrde7T5_u4tI9ex5idqHT23uGWFKp</t>
  </si>
  <si>
    <t>70km</t>
  </si>
  <si>
    <t>Chị hạ</t>
  </si>
  <si>
    <t>0834633299</t>
  </si>
  <si>
    <t>https://drive.google.com/open?id=1-GLmNPy58Bj9g7yP2SrF4IxHGOiDeoo6, https://drive.google.com/open?id=1eHr8KvB-dNQ5LaCdWs5Ek2RR0DhO217Y, https://drive.google.com/open?id=1Qw-N9Xo98y8WI_lnv3XaEVNAS15kZdF7, https://drive.google.com/open?id=13mYEWApNRAKsXCAKF25D9JRfm_CG500S, https://drive.google.com/open?id=13GTpQtsTyMfRPJGDE2Jv7EaOWrdi2wN8</t>
  </si>
  <si>
    <t>Chị hiền</t>
  </si>
  <si>
    <t>0918051286</t>
  </si>
  <si>
    <t>5440, thay lõi RO</t>
  </si>
  <si>
    <t>https://drive.google.com/open?id=1tcI8_qkBF3tsreMf_nce3Il1ktGAPtFB, https://drive.google.com/open?id=1yk2pngClrNned5z0G9kdTQBTjlt7VzMR, https://drive.google.com/open?id=1qhAlTfTIG4BBeQLmpw_lNhBHgewdmk3v, https://drive.google.com/open?id=1GiZt9iZK3TRuLNjTqNKyizN5Lxcniez1, https://drive.google.com/open?id=138BmLX_HVPIj-9ENYe3b8Ck7ZqT8aEQL</t>
  </si>
  <si>
    <t>Klm đến nhà khách 50 cây</t>
  </si>
  <si>
    <t>anh Linh</t>
  </si>
  <si>
    <t>https://drive.google.com/open?id=1K9h9nFX-KdjopoK2OwYBK_7zG24caMKu, https://drive.google.com/open?id=1KS6EJt1iDCAcZ3cFuiCLq8v2SC5qA9-V, https://drive.google.com/open?id=1LwZSnqnAX-1FDBRoH2UYexvy2lclSh1Y, https://drive.google.com/open?id=1UU3yX7p_HxT-VekTCFfBTESQ3ZQLi4XL, https://drive.google.com/open?id=1Rvt2sqDp-iI9BpmOBUazG4h-NpRaCu10</t>
  </si>
  <si>
    <t>chị Vân Thy</t>
  </si>
  <si>
    <t>0931525867</t>
  </si>
  <si>
    <t>https://drive.google.com/open?id=18D9TeS3bkBBLTVRG3PiucmE2tYhLkazv, https://drive.google.com/open?id=1PaSPWTiRKchhhrmkgX5S1EYRYTj0d1lk, https://drive.google.com/open?id=1btde8tfFvY04qob71nfQkG7fugQsgpxX, https://drive.google.com/open?id=1UWSw71Xyd73fz5lRAhiVD86BmGxhOsA-, https://drive.google.com/open?id=1cjPNPO0lzTrFhPfdX4M0-okIgNCKowHa</t>
  </si>
  <si>
    <t>chị Thanh</t>
  </si>
  <si>
    <t>0935470999</t>
  </si>
  <si>
    <t>https://drive.google.com/open?id=1a041-e_Wevi3uqtg9ShIKLNmGh654wH8, https://drive.google.com/open?id=1HWw5-tu7gs4ELXaYvYXjmWHTLgDSefl4, https://drive.google.com/open?id=1qBj5-7MFFXznzk8cMCZDwBc7TBj8vDhI, https://drive.google.com/open?id=10PwdcDiHnShmMfmsszbq4IDlldcQkrkI, https://drive.google.com/open?id=1qgY_VoeqJ5AyTQDJY0q-xf4os6r7XJBq</t>
  </si>
  <si>
    <t>Lương Thị Phượng</t>
  </si>
  <si>
    <t>0909098284</t>
  </si>
  <si>
    <t>https://drive.google.com/open?id=1aVL8azra1EA1A0GkrHbq6tEDIprevMJq, https://drive.google.com/open?id=1Kq-uNPscyrcsj4Ga5yf8u5znC_HccCyz, https://drive.google.com/open?id=10_h0fm3bYEg3INT8JDAf0F27SRNgZx4n, https://drive.google.com/open?id=1xIjPH476la1zwVv7zGlpBUTAP8LUariG, https://drive.google.com/open?id=1mTyVYlwtmitIpkiF53n_OyKk6c5AQ2oC</t>
  </si>
  <si>
    <t>Tinduong</t>
  </si>
  <si>
    <t>0933559955</t>
  </si>
  <si>
    <t xml:space="preserve">Thay cụm vale </t>
  </si>
  <si>
    <t>Tiếng ồn khi vận hành</t>
  </si>
  <si>
    <t>https://drive.google.com/open?id=1x52z0RzLQpA5ohd2CcUgk6AStY5xph7E, https://drive.google.com/open?id=1gPc_5rWeIU0_6AtZpXx93CkFz9bIOjAV, https://drive.google.com/open?id=1BiulZxITjOiirEBP5Zc0IYRjjG3prTEo, https://drive.google.com/open?id=1WT2IQfCXlUYQafsq48wowZUYLOcBL9kS</t>
  </si>
  <si>
    <t xml:space="preserve">Tùng vũ </t>
  </si>
  <si>
    <t>0389076793</t>
  </si>
  <si>
    <t xml:space="preserve">Delica ur 5840 thay pgp, CTO </t>
  </si>
  <si>
    <t>https://drive.google.com/open?id=1M79u6Zd4loalmDqisUEdikyOrvQVo1vE, https://drive.google.com/open?id=1J6chCowiTUVptVElxQ8PA0HoXEBv9yPq, https://drive.google.com/open?id=1rIHoMVJb7WNMZf8loe56Q_6LRwyQHkn5, https://drive.google.com/open?id=1N7IavzGMfxeVCdwPBhF5DnFMWAKbUYsk, https://drive.google.com/open?id=1KqQlwIKwQ0jCncxNvQGbIUGU44LY9dZN</t>
  </si>
  <si>
    <t xml:space="preserve">Ngô đặng khả ái </t>
  </si>
  <si>
    <t>0988699200</t>
  </si>
  <si>
    <t>https://drive.google.com/open?id=1s6JqAJ3KA4LNvhxRDM0WvN-dTknYTATt, https://drive.google.com/open?id=1Nl1qniuxFxQkoYFOmPMwXM1rHHLm5aej, https://drive.google.com/open?id=1OE9x5N3-P9L1r7q3E24-sVqLCVpF4ssN, https://drive.google.com/open?id=1ndJkdwsPthQoQSf2zShY49EFOov5BRMq, https://drive.google.com/open?id=17fMOhD2LgMJtvtE8y02hZLywu9YnKXIU</t>
  </si>
  <si>
    <t xml:space="preserve">Khách lắp máy 5640 </t>
  </si>
  <si>
    <t>0936286934</t>
  </si>
  <si>
    <t>https://drive.google.com/open?id=1IZp6i1-yzGXgzSMcZkNlNTjWo3XcQHQZ, https://drive.google.com/open?id=1eUUuODlNNJVFWbpwDjBk56VTXOSPebQq</t>
  </si>
  <si>
    <t>A hiệp</t>
  </si>
  <si>
    <t>0986569668</t>
  </si>
  <si>
    <t>https://drive.google.com/open?id=1nvAn-qyjRRHcBqxncbhOzh3Mphw6V0QV, https://drive.google.com/open?id=1rHEOzKu-Lb9wAOPeOYXcq8VOFk8HaAzD</t>
  </si>
  <si>
    <t>https://drive.google.com/open?id=1jrTNoznJhB7iRXzP0GucuTua-Q6zMivL</t>
  </si>
  <si>
    <t>Đã giao hàng Khánh trả tiền sip</t>
  </si>
  <si>
    <t>0908635141</t>
  </si>
  <si>
    <t>https://drive.google.com/open?id=17NMWU-zZOLpcgrtCRqVc3C7gVGqoNgss, https://drive.google.com/open?id=1_W1npIEfh49FPU2xeTtm9D7DKDydc4jB, https://drive.google.com/open?id=1nWS93Z8OJEd6k7JScZ0__XO9wHt8X_1i, https://drive.google.com/open?id=1lc-XUP_QcZc9tIJd_WuRYMUTafwal0CP, https://drive.google.com/open?id=1ga0RXP2ISLVxmGerGHt0kIqeHN9zuss7</t>
  </si>
  <si>
    <t>A đức lực</t>
  </si>
  <si>
    <t>0926207999</t>
  </si>
  <si>
    <t>https://drive.google.com/open?id=1jDnY_-SvzyQnZKpX-16MY6cPMA81eaiG, https://drive.google.com/open?id=1qLGC4UmBJh7Z3vfYjodk3HyLpDjpAXCK, https://drive.google.com/open?id=1UxYtM45BsPdeizVXwoPIFHBMQBWQlDGL, https://drive.google.com/open?id=1FGY3hUN7W1321J0Zxu9wAu0rTV5rBwYc, https://drive.google.com/open?id=1337eJpUmuE3O4beK7Yw8NqdYNnhNByga</t>
  </si>
  <si>
    <t xml:space="preserve">Tăng ca </t>
  </si>
  <si>
    <t>Uegene</t>
  </si>
  <si>
    <t>0903022006</t>
  </si>
  <si>
    <t>https://drive.google.com/open?id=1GGtjVZHzTA4pvWQ1YpYOyC1-w6XEmrjg, https://drive.google.com/open?id=18RjsAI0ZoBypZh-5QEb36R4PTrkXBEaG, https://drive.google.com/open?id=1DLH39Mje8NRbXppKg_Sfi4B9VertbcYL, https://drive.google.com/open?id=1ZAA2C-ozeG522ZqHbIN1_hNsuKQeHAZz, https://drive.google.com/open?id=1ET5jHuX1aIUF4KD2M6Ca3r_99PElwN96</t>
  </si>
  <si>
    <t>1858260020700006</t>
  </si>
  <si>
    <t>Xuân</t>
  </si>
  <si>
    <t>0985944439</t>
  </si>
  <si>
    <t>https://drive.google.com/open?id=1Fy-GC7YGuDucOFxPN_4RvLY0u8wzcoFI, https://drive.google.com/open?id=1VJzm3OmEeMyW2nXfuHkVCaoF7uKtgMNl, https://drive.google.com/open?id=1ukKfOcRUNiNFP_nQX3T1fJDEdmPfm2Ar, https://drive.google.com/open?id=1C7FDFQ4DcNHwMUs7-5TPnj4Rgi8yAc9R, https://drive.google.com/open?id=1a0q4-F0sdN3TSgedMydyksNFoGYyOZFp</t>
  </si>
  <si>
    <t>Thanh Tâm</t>
  </si>
  <si>
    <t>0938313044</t>
  </si>
  <si>
    <t>Delica5640</t>
  </si>
  <si>
    <t>https://drive.google.com/open?id=1cv9DCIVOdc-36UNcwbDFi-Mga5kzoFvk, https://drive.google.com/open?id=12HgQInIw87HN1tkPdn1zXz9DNHNpXA06, https://drive.google.com/open?id=1VyiGd8epjoAZoZMC0rAQ240TbYcspjOc, https://drive.google.com/open?id=1zKTix2697QqntizJpN7KDBRxXtMuUkhK, https://drive.google.com/open?id=1mtb68ucc2Ew9NAvP9b6oC_VqLlx371Aj</t>
  </si>
  <si>
    <t>Thay RO+pcg+cto 564</t>
  </si>
  <si>
    <t>Quốc triệu</t>
  </si>
  <si>
    <t>0906720675</t>
  </si>
  <si>
    <t>https://drive.google.com/open?id=1OBYu7u2IKgBT22rr_s7QY2wwEq0IYA43, https://drive.google.com/open?id=13W1FNEkH2bYqi-oWVjF08PMeCKgM_GPo, https://drive.google.com/open?id=12xwlWidvCoaZywkOVXwBpVCG70YjDMHG, https://drive.google.com/open?id=1Qqbeipc4xl-xDx6161wSnauu9BpZQM7B, https://drive.google.com/open?id=1H9D4xoXjLj4v75pGu1EM0LGdPGLpe9V-</t>
  </si>
  <si>
    <t>Anh xuân</t>
  </si>
  <si>
    <t>https://drive.google.com/open?id=1Fg07hwbRumvOJFR2aYguVY29lCiPXM-V</t>
  </si>
  <si>
    <t>Giao chành xe phương trang</t>
  </si>
  <si>
    <t>Huynh tran</t>
  </si>
  <si>
    <t>0966061643</t>
  </si>
  <si>
    <t>https://drive.google.com/open?id=1pCNutI5ASQMUZf7v4luxykeGtXtd_q7y</t>
  </si>
  <si>
    <t>Giao chành xe hùng cường Q5</t>
  </si>
  <si>
    <t>A trung</t>
  </si>
  <si>
    <t>0987873637</t>
  </si>
  <si>
    <t>https://drive.google.com/open?id=1-niYnMFS9l9CxvA9AuOOqSIz57MKidvF</t>
  </si>
  <si>
    <t>Giao chành xe tô châu</t>
  </si>
  <si>
    <t>W6412</t>
  </si>
  <si>
    <t>https://drive.google.com/open?id=149_m3dPlgcO2n3qkFTbqg5AfYOsuAWrw, https://drive.google.com/open?id=1UUgYGPPX_TOVUXN9Agq3ufLZWjVhC98R, https://drive.google.com/open?id=1J2ZHX2uTykCRWreEm008a0xVwKclRXfQ, https://drive.google.com/open?id=14b-aLSlR-1g3DN-snARwBgOoHt9fwmX7, https://drive.google.com/open?id=18Kx_vGpOh02oD0sH9FISXjZkiMYsOyCG</t>
  </si>
  <si>
    <t>A khang</t>
  </si>
  <si>
    <t>0913182633</t>
  </si>
  <si>
    <r>
      <rPr/>
      <t xml:space="preserve">https://drive.google.com/open?id=1Sktt1x0O-UraF5dKaqux1YivFYTPU7rX, https://drive.google.com/open?id=1bRz9mM693QAHt5JZq-HNh3ttImwC_iBW, https://drive.google.com/open?id=13-if6UkM4K3D9Mh_rUFEtc9cEJ2JkjQ1, https://drive.google.com/open?id=1HiKaPRLW5WhFeH4DkiCx2Ru4ZwVKh6CI, </t>
    </r>
    <r>
      <rPr>
        <color rgb="FF1155CC"/>
        <u/>
      </rPr>
      <t>https://drive.google.com/open?id=1_AVu-9KT4MU53W-_ou0vNuq9U2-qYwH5</t>
    </r>
  </si>
  <si>
    <t xml:space="preserve">Khách hàng chuyển khoản </t>
  </si>
  <si>
    <t>A sơn</t>
  </si>
  <si>
    <t>098 1818179</t>
  </si>
  <si>
    <t>Pgp cto58</t>
  </si>
  <si>
    <t>https://drive.google.com/open?id=1N6K6w2rqRhf7U9UQvpUO4p8L0AzJ0T0q, https://drive.google.com/open?id=1n_41hoNoOaNzlNqEWpYmJ-JfhyFHOlwC</t>
  </si>
  <si>
    <t>Chị Linh</t>
  </si>
  <si>
    <t>0918455279</t>
  </si>
  <si>
    <t>Combo 3626+W6412</t>
  </si>
  <si>
    <t>https://drive.google.com/open?id=1s14UgXDUEWSNhuCpw1rfxiLfR6HboKCw, https://drive.google.com/open?id=1YVRVQIxEa-jWhv4WmVQSkV2VD19Dmp4R, https://drive.google.com/open?id=18S9DXpfktp3deNNaBRoDIP91kUU0JAFD, https://drive.google.com/open?id=1fYhVTrYGCXUtVt4HpIXb1H93HOS3v2Yi, https://drive.google.com/open?id=1epvYPFVIGSlL7OPK7VjVQjVdL2fPy4L-</t>
  </si>
  <si>
    <t>Lắp chủ nhật. TDS In 69. TDS OUT 5</t>
  </si>
  <si>
    <t>186825123100493/196926010400157</t>
  </si>
  <si>
    <t>Minh Nguyệt</t>
  </si>
  <si>
    <t>0935196969</t>
  </si>
  <si>
    <t>https://drive.google.com/open?id=1orSKuTQHCH30aXKgF371WkIvWy3Z9byN, https://drive.google.com/open?id=1aVCr_iiPWy0SKUnMBvuKd14otP071nvr, https://drive.google.com/open?id=1KTZtifrqcRH1f4ae_Ws7o8mkP2ce96W_, https://drive.google.com/open?id=1B2Y014tGxAbSMUB4n5WlWJM6rvgvu0FP, https://drive.google.com/open?id=1p04n4pwueEYbbwbu8GBYYnAqWHXOewlo</t>
  </si>
  <si>
    <t>Ngọc</t>
  </si>
  <si>
    <t>https://drive.google.com/open?id=1vGeLpDn4P9F8tEBhm4LzeR7V_QSVBmoy, https://drive.google.com/open?id=1PM0_Vl1OHkqzmI2US7O4_mW6tJoid0kM, https://drive.google.com/open?id=14JRxptHmCAC69EbS_1DjKO6cbj5XaC_5, https://drive.google.com/open?id=1TZdsUCv5fKLQRkFzgxEF2qjg4dtG7tMz, https://drive.google.com/open?id=1qLDKnlVcegAHG2C2YGA6Y5vEDhMjPvUZ</t>
  </si>
  <si>
    <t>Thuý</t>
  </si>
  <si>
    <t>0907147347</t>
  </si>
  <si>
    <t>https://drive.google.com/open?id=14wu79_MGp5XE5XBaXiUOPm83atN3ZyDu, https://drive.google.com/open?id=1F4I-oZMboWuQfutIT0R9LP0brLkZ6U53, https://drive.google.com/open?id=1JKqhtOAZ4UxQZ9xhmEpHXQ0ZlLSD2S1b, https://drive.google.com/open?id=15tzHCOWPqDDMPaMfAmPj_mqzEYSRmhtJ, https://drive.google.com/open?id=1Eujlja2sbEZCHM3VxOJNrvINsRkayOMa</t>
  </si>
  <si>
    <t>Hồng Trang</t>
  </si>
  <si>
    <t>0365274196</t>
  </si>
  <si>
    <t>https://drive.google.com/open?id=1N5GF9E8YZvl5yLrLCE-U5qm3K5neK_q5, https://drive.google.com/open?id=1E4irUjpj4Jaq-KWauUoaTw_UV6qMNWuM, https://drive.google.com/open?id=1vmgvy1qLCpAyXrLqhMkDAlK9Y3RYlDaW, https://drive.google.com/open?id=12dTD6toG_wXnp-wPET42-h8eK5AD6fx0, https://drive.google.com/open?id=1pIYy0epHoi9Z5nHK_N0BcudB1T4Nc5m5</t>
  </si>
  <si>
    <t>1198023021300439</t>
  </si>
  <si>
    <t>Nguyễn Thanh sang</t>
  </si>
  <si>
    <t>0336301355</t>
  </si>
  <si>
    <t>https://drive.google.com/open?id=1rv7FyAlez24VdAe_zIbKsRTjHUbbdmZs, https://drive.google.com/open?id=1FPw3GjzXIhxdIlEA_t9tICE_3fRPNm7i, https://drive.google.com/open?id=12ar6ndC9P35NUU3GjvY7AsghX28lcQPa, https://drive.google.com/open?id=1A3eF_gbQlmEe5S2chLbrjnJmDW3nBKHm, https://drive.google.com/open?id=1xCgs1aEFVEGD1QS5bc6kzBm4qFfN24up</t>
  </si>
  <si>
    <t>Dang tu uyen</t>
  </si>
  <si>
    <t>0799221717</t>
  </si>
  <si>
    <t>Ur6190</t>
  </si>
  <si>
    <t>https://drive.google.com/open?id=1rvENNabcWiETeopllDppP5tm3fF_EYJj, https://drive.google.com/open?id=1Q67jKJ-qdYRvwt-fvyIZT01motDcZQON, https://drive.google.com/open?id=1BuroFbLF-IZUA-NW33HVV1T4aGk9faQa, https://drive.google.com/open?id=1fRhDvIG8e5mgTdqjb7uMeTP5mwIEH5Mj, https://drive.google.com/open?id=153JsHPRa0InN6subRElwUB5OcG4elkB8</t>
  </si>
  <si>
    <t>Cty TNHH DVTMSX PHi LOAN</t>
  </si>
  <si>
    <t>https://drive.google.com/open?id=1t19TbDdgpmKWP4DqSuORN41B5edVRS6B, https://drive.google.com/open?id=1LO20aEuipBdjNFz1QdZvYRwHzG7vjiH-, https://drive.google.com/open?id=1jNsQ2QyTVHtKx9Lhh1XatPE8w1WkcH4J, https://drive.google.com/open?id=1ptpLTRGHIWS7OVtkLTmeU9qOZqFCpIe-, https://drive.google.com/open?id=1dJsrZAt56y-ScmDlPbAUJqP8CL9WZdge</t>
  </si>
  <si>
    <t xml:space="preserve">Lắp đặt máy mới thu hồi máy trưng bày </t>
  </si>
  <si>
    <t xml:space="preserve">Chị Khánh </t>
  </si>
  <si>
    <t>0866096083</t>
  </si>
  <si>
    <t>Delica ur 5640</t>
  </si>
  <si>
    <t>https://drive.google.com/open?id=1UhUbFScD4LmnYoAc4WlqvFp7v-K93CQ0, https://drive.google.com/open?id=1Ah1ZKX82U2vE9kfVrkS7SP_lqhbfceGz, https://drive.google.com/open?id=1tgh_FzkD5_8XWojtb3d3uVr4FeGbAx5d, https://drive.google.com/open?id=11Ae2Tco_KXJLAR_SImb9A0JMzCmPkEqv, https://drive.google.com/open?id=15S0CIc5mVtonBNHZHI-hPTArIkkXG2aW</t>
  </si>
  <si>
    <t>A tâm</t>
  </si>
  <si>
    <t>0764079100</t>
  </si>
  <si>
    <t>https://drive.google.com/open?id=1l9ie68JYZ2gE-UCSNyS-LwOCJD-5HZ8H, https://drive.google.com/open?id=1UTyiO5JC4YQ4uI6VYHh-89UXs71SQgde, https://drive.google.com/open?id=1WMLxeP56i8G9VS1Y7ezdwc3lG-_jI4Vd, https://drive.google.com/open?id=1fCqWZPObk87QiExCIfOhNDPrOu0xrYpm, https://drive.google.com/open?id=17scUKtBJpUyPuhDQJKBXfcV5L68zMXjS</t>
  </si>
  <si>
    <t xml:space="preserve">Trực chủ Nhật </t>
  </si>
  <si>
    <t>Lê thị tâm</t>
  </si>
  <si>
    <t>0978005469</t>
  </si>
  <si>
    <t>PPCF Lavita</t>
  </si>
  <si>
    <t>https://drive.google.com/open?id=1TmHD7cXOp27FM43IDxr4E5svPZ05uhnn, https://drive.google.com/open?id=1K45wC-4pPjRi74joGpgWmo7iGG76Qba8, https://drive.google.com/open?id=1f_DCaUjkYZD7upkJeF_q24QiQgluDM_g, https://drive.google.com/open?id=1Uu1h5FMj1AbymQVILShfhdDJ08fL_8uE, https://drive.google.com/open?id=1mb_RJQOil2CpMC4sUyUyCrCBiftSJiBJ</t>
  </si>
  <si>
    <t>PGP+ CTO 5840</t>
  </si>
  <si>
    <t>https://drive.google.com/open?id=1XF80P6CVXXP2eKwxvx7WzjdyJAZuBlux, https://drive.google.com/open?id=17JixAQ7p8zOJe4-92CVWnlE7eZUCiza7, https://drive.google.com/open?id=1aZZqYyrkZtuxgUjqsct5pA7VNvqJ_wJ8, https://drive.google.com/open?id=1OLyo9fXZvavaTKfaqcOUcKTYopiTvNUv, https://drive.google.com/open?id=1fCMLC8WsfXx0eFtt5yNN_KcgKR_UoDx3</t>
  </si>
  <si>
    <t>0981000587</t>
  </si>
  <si>
    <t>https://drive.google.com/open?id=1ej9Zxnnl8iYnApG7SN9mE7U4RDzuwnm9, https://drive.google.com/open?id=1l05hN314Tav_WRrVzUeS_GGpBCyotO0A, https://drive.google.com/open?id=1DlG2S5QQ8s_nnb6ZiPcjiRCtPYNiT85q, https://drive.google.com/open?id=1t1BrJduuuB6689Ci1g7hEqC1AQzMJa0v, https://drive.google.com/open?id=1ue2GXTs15wm9Mbv6aymuXb3sclUAGTlw</t>
  </si>
  <si>
    <t>Giao lap ur61096h
Hoan thanh luc 18h45</t>
  </si>
  <si>
    <t xml:space="preserve">A lực </t>
  </si>
  <si>
    <t>https://drive.google.com/open?id=1F5t2dzfIy_H7xhbTuinEHF-LzcGVOaad, https://drive.google.com/open?id=1yhjoHuZ_7bigNk9RlTtpeV315qCOfDLd, https://drive.google.com/open?id=1-g6swfFZh_1UWP-Fe7TLQ1z-LhK7hBh_, https://drive.google.com/open?id=1oKkFlkO35e7T_s9JataMBXwBTS4ZLrLu, https://drive.google.com/open?id=1Y67oJJXj_BWYnaxzR89zFIjBCNn8gMGu</t>
  </si>
  <si>
    <t>Trần dần</t>
  </si>
  <si>
    <t>0917949786</t>
  </si>
  <si>
    <t>Pgpcto vòi</t>
  </si>
  <si>
    <t>https://drive.google.com/open?id=190GV4qPyGhg3mkIsN5Y33ToL6xw0XRYZ, https://drive.google.com/open?id=13kmmGziqaE6brvduJBU2NeBYZJ4SYGRA, https://drive.google.com/open?id=1mIpg5AOAiHCm1HdMy7HnvnCasj_ub1aM, https://drive.google.com/open?id=1VB86hHD2FNjkYkxB-04J9PfGLEJbUPkI, https://drive.google.com/open?id=11UG8P2j4a8ctT2nMOsFJn8Ql-18ha3TZ</t>
  </si>
  <si>
    <t>Nguyễn thị hà</t>
  </si>
  <si>
    <t>0961957745</t>
  </si>
  <si>
    <t>Đelica5840</t>
  </si>
  <si>
    <t>https://drive.google.com/open?id=1Wnj8fvZasPzNwMhImwz8drApoecy09A7, https://drive.google.com/open?id=1RcOSJYM5WxraVt0-VyZJ4KmIuCAo3QyG, https://drive.google.com/open?id=1JNGPLCrCner_ohFa0RF6Crs8PIMnZvcg, https://drive.google.com/open?id=1z5LUWY492JFrko5bBgFQMIl-kWzxCHf2, https://drive.google.com/open?id=1gDiRdGSB33bgazlxCir8ukGKUe_qgbI9</t>
  </si>
  <si>
    <t>Đã thay lõi</t>
  </si>
  <si>
    <t>chị Linh</t>
  </si>
  <si>
    <t>0773737327</t>
  </si>
  <si>
    <t>RO PGP CTO 5840</t>
  </si>
  <si>
    <t>https://drive.google.com/open?id=1PuQ1HdsYYVQH_mIyZO0YmbXKsYLUn8kT, https://drive.google.com/open?id=1P_DhCI306iujggS3lhrcYVtli_D8DpmH, https://drive.google.com/open?id=1NOx1l-ESXxH3wwkqi0b7PpXT9JjuH0t4, https://drive.google.com/open?id=1Fr7h1eWsBnTja6oeXeSukP14Ak8yA7Db, https://drive.google.com/open?id=1HOOI2r-wLlXKMeKNymMztTV8dYtROWGD</t>
  </si>
  <si>
    <t>chị Minh Hiếu</t>
  </si>
  <si>
    <t>0906369933</t>
  </si>
  <si>
    <t>giao lắp 3626</t>
  </si>
  <si>
    <t>https://drive.google.com/open?id=1xXQnQSlKnsCtByT5c3YhJ69A9Hfonsf_, https://drive.google.com/open?id=1KtL8oig0DPF_jFduuFUCxTqN0QkYpMmi, https://drive.google.com/open?id=1ZVRNKkdYpyxvWpDflIuChPRnvjO8L95W, https://drive.google.com/open?id=1Qs4W1JM1BNgDO2GctH3o21-5-sGdQnGk, https://drive.google.com/open?id=1ANdYhuXFnk18a62RzyPYLtO_VJWP47Kp</t>
  </si>
  <si>
    <t>máy W6412</t>
  </si>
  <si>
    <t>https://drive.google.com/open?id=1vPT8MvWBCDwwIhBbizlYzBgRc7SfBdc7, https://drive.google.com/open?id=1YnoXt3CGDiXJFRbHsEPIX0H7j1EgGeg4, https://drive.google.com/open?id=1-OMwDbMh5tIduQIxfGqNXF4jFWmu8c98, https://drive.google.com/open?id=1EnV6Kb1g16DuGHdwT0W16NbcvH11BxMJ, https://drive.google.com/open?id=1bEMeCP_L1hau1QhQdXgK3JQ8hD7dSQLr</t>
  </si>
  <si>
    <t>RO PGP CTO 5640</t>
  </si>
  <si>
    <t>https://drive.google.com/open?id=1QzHpbRaNjv7lMw5GF25HOPFiLDSvVtsm, https://drive.google.com/open?id=1UJ35TFNLod-RZHasXitUtlpP5rh_M0Yz, https://drive.google.com/open?id=1I5VaZDdQA8iDQ44k_79GPKiGIyQw-5oa, https://drive.google.com/open?id=1ctQVzQ6uPUHAKX-rN6HgV4tEgl5wGVKv, https://drive.google.com/open?id=1njG3NK49ixq71DwX6MLdpHE0pWp3CM36</t>
  </si>
  <si>
    <t>thay 1 lõi RO, khách giữ 1 pgp 1 cto chưa thay</t>
  </si>
  <si>
    <t>Giao lắp 5840</t>
  </si>
  <si>
    <t>https://drive.google.com/open?id=1yHE4V84lxo6Bkv4TWWnm6WvnsfLbxBmF, https://drive.google.com/open?id=1i3x85pIWdMx-1pxjgMMLNKk2aYuLPR-k, https://drive.google.com/open?id=1zuznlR1Fn0EnRrDUQVXt1BFYVY6YY88Z, https://drive.google.com/open?id=1BkO5a4z5ZzcAPdFNfT1YtaZRWl7EIKwR, https://drive.google.com/open?id=1GnMZmQAmHD3IaWWs6awfIRlcxdGoLna-</t>
  </si>
  <si>
    <t>Nguyễn Phi Hùng</t>
  </si>
  <si>
    <t>0919131131</t>
  </si>
  <si>
    <t>Thay thế lõi PGP và CTO</t>
  </si>
  <si>
    <t>https://drive.google.com/open?id=19f_2Db5-DQFC75O-opSDjFkyRpM1HH2B, https://drive.google.com/open?id=1NQMQAd3iLZQshEWYsTbkkPh0LOMle11I, https://drive.google.com/open?id=1yGrUwMq1LMXqj0lc_xMKZjnhuPTutmmB, https://drive.google.com/open?id=1rnY7aOAuPleaWM-uf6XWX-eZE7iuGmjI, https://drive.google.com/open?id=1PmsMHZNH7-QscR_uSjSbKTg8KKlZSCeH</t>
  </si>
  <si>
    <t>anh Hiếu</t>
  </si>
  <si>
    <t>0908826968</t>
  </si>
  <si>
    <t>RO PGP CTO 5440</t>
  </si>
  <si>
    <t>https://drive.google.com/open?id=1uGvlhYkbc3m8hdeisiNoYaFvSO2TsRj2, https://drive.google.com/open?id=1zOn-4P3XwtZ3kKXuGFYYcVfzp3GPVAAu, https://drive.google.com/open?id=1ldCnidaYpXWpyOdf46mquKv8XAm5R_wR, https://drive.google.com/open?id=1RDyYmx_lvUN8eUf0cvIcJ4pvLalmMwK1</t>
  </si>
  <si>
    <t>0829441131</t>
  </si>
  <si>
    <t>https://drive.google.com/open?id=1VK89qdaZd6wZX-hImFM4MgP9tlAJKiBF, https://drive.google.com/open?id=101aaLQu5IxjQ4-nKIQA6VdMKrCdWmhEm, https://drive.google.com/open?id=1xIWRGox8-PCxQJIgCpIyEusrzOA5NgsF, https://drive.google.com/open?id=1_92wWJbxFNErUgHDwtLKJfPeNr34iTMO, https://drive.google.com/open?id=1TMLbi7i18E3ab6OFnu9rXaddtkAvuJC-</t>
  </si>
  <si>
    <t>0901029009</t>
  </si>
  <si>
    <t>https://drive.google.com/open?id=1cmluUE37p4zve0AvmG2FW5JO9kQN6Gr7, https://drive.google.com/open?id=1V2tSY3gHNMfPW69Lb12TmdgKu5zI0pjY, https://drive.google.com/open?id=1hAGEMXZ16d7iLX-FXWlUiNY5h6NbYaJb, https://drive.google.com/open?id=1cAJCsLf0PHpi0uann99OYGZmtSzFMaQP, https://drive.google.com/open?id=18b1N2X1r1M14HzdorPhSJ2OzQ4zhn8D0</t>
  </si>
  <si>
    <t>Anh Nguyên</t>
  </si>
  <si>
    <t>0913095762</t>
  </si>
  <si>
    <t>https://drive.google.com/open?id=11NAAUSxJCa7eAQ53lG4C_u2JSChEMB_C, https://drive.google.com/open?id=17phak1ZkPmtPHVIDtAhDSju7YcFJ7sNS, https://drive.google.com/open?id=19vuaIC5z-Ejr0A_mWYAbuIpliaxXt8T0, https://drive.google.com/open?id=1eksDQ8RVFzRXOOpVkRwRW4ICC59VvQRJ</t>
  </si>
  <si>
    <t>0907998686</t>
  </si>
  <si>
    <t>https://drive.google.com/open?id=1CS6jO4AIek8zV8SKLSqDhH_i0F99MyH-, https://drive.google.com/open?id=1vLMfs7bvn-NogrAPcO5htjNxA0X_QB3r, https://drive.google.com/open?id=1ht4iAmROmL8OeV1SD3Rn1nZmFvQRCOyj, https://drive.google.com/open?id=1Fe3qP_7CLc-RGZwGVTIKMxq80bQylMJX, https://drive.google.com/open?id=1PHngkY66mi-LC2L7PecPrAvVGFPTfCau</t>
  </si>
  <si>
    <t>Thay loc</t>
  </si>
  <si>
    <t>Nguyễn Thị Bích Hảo</t>
  </si>
  <si>
    <t>0974890085</t>
  </si>
  <si>
    <t>PGP+ CTO Delica 5840</t>
  </si>
  <si>
    <t>https://drive.google.com/open?id=1NCezKqme_K9U4v1GD0a9gONRZQtArAKd</t>
  </si>
  <si>
    <t xml:space="preserve">KTV Chính đa hoàn thành ca thay lõi lọc </t>
  </si>
  <si>
    <t>Anh Tân</t>
  </si>
  <si>
    <t>0707249999</t>
  </si>
  <si>
    <t>UỦ61096h</t>
  </si>
  <si>
    <t>https://drive.google.com/open?id=1FhUU4Az0D_elUorhwKxoGeiAYbDcULfz, https://drive.google.com/open?id=1CL-LAcAskkLEfntuBYyaZcwHYqPc0x43, https://drive.google.com/open?id=1PxHioCJ1Zk77YwKkHy5Qdx6CAFWzhWRG, https://drive.google.com/open?id=1WUZ6TRxwW9kXXd0I_Utl1HPtZXzEE6sn, https://drive.google.com/open?id=1C2w9cG2VcLWsbDbfXmUSxhODjI46eeKF</t>
  </si>
  <si>
    <t>0907241993</t>
  </si>
  <si>
    <t>UR61096h</t>
  </si>
  <si>
    <t>https://drive.google.com/open?id=1tJ9jqYjdj5bz_HBfN8i0BYpBLaVbir_W, https://drive.google.com/open?id=1CIOnH6Ij87bmq4RGZHmMFp3GqGcuqJ4u, https://drive.google.com/open?id=1y_NYaFSHN5fbdg66hUQbgJlMwMKfx-AP, https://drive.google.com/open?id=16N9oR31l_wpCqV_zUjJSi6cGhqP_su6M, https://drive.google.com/open?id=19oZHNF40dE6_l3paWW2ABLgTr-x486Cs</t>
  </si>
  <si>
    <t>Anh Tín</t>
  </si>
  <si>
    <t>0903656533</t>
  </si>
  <si>
    <t>https://drive.google.com/open?id=1PUUFr0X9xxaCGpGbsVJEFm_cliZz4v2k, https://drive.google.com/open?id=1i7dX6g9QZCFgm4E9mQQSGHoPLbvKESUK, https://drive.google.com/open?id=1Z3H2jU9wkyd5J1XoxqVUZV39Uh8frlLq, https://drive.google.com/open?id=1h8hLuFkdh_Xbe-70pObXPXAr582_tX-v, https://drive.google.com/open?id=1ywiJ00DUL2dxLWsuM-3K2j_cYdBTFMgI</t>
  </si>
  <si>
    <t>Đã trả KTV 120k. chuyển gửi cty (cá nhân) 70k</t>
  </si>
  <si>
    <t>Đại lý hưng thịnh</t>
  </si>
  <si>
    <t>https://drive.google.com/open?id=11kE0Fn6MDRXGEknLbSKyBWJsCaU9-LQL, https://drive.google.com/open?id=16hisjTu2elFxRcygceyXFpZ2kJxe45Aq</t>
  </si>
  <si>
    <t>Đã giao hang tt cước xe 450k</t>
  </si>
  <si>
    <t>Anh thìn</t>
  </si>
  <si>
    <t>0973960113</t>
  </si>
  <si>
    <t>https://drive.google.com/open?id=1GVoVMfzCwPVY64QdmkqEmdmasAbtEopn, https://drive.google.com/open?id=1ybhnDl4cQdfwTAvnKxsqpWvVbccmXAVB</t>
  </si>
  <si>
    <t>Đã giao tt tiền cước 35k</t>
  </si>
  <si>
    <t>A nguyên</t>
  </si>
  <si>
    <t>0359036900</t>
  </si>
  <si>
    <t>https://drive.google.com/open?id=1RRVRImZbnGANVpQgla8RuSPU-mnLp-aU, https://drive.google.com/open?id=16KDVzt9qybxZjSuyMZp9gjOZbv-7J7yX, https://drive.google.com/open?id=1cWwXITrJQhVwVBnWE0cXowF52aSNnlb8, https://drive.google.com/open?id=1rAKFg2c3CpanvJD56kDPRta4_OlX9dSG</t>
  </si>
  <si>
    <t>Lắp máy khách hàng</t>
  </si>
  <si>
    <t xml:space="preserve">Lê Thị Thúy </t>
  </si>
  <si>
    <t>0983455126</t>
  </si>
  <si>
    <t>Delica ur 5440</t>
  </si>
  <si>
    <t>https://drive.google.com/open?id=12NTxQZAGtXL8t8MX7eB4Tgd-_JL1djPz, https://drive.google.com/open?id=1t2VMf4QtBQhj_U0SkpjLpcBGx2m_tDLI, https://drive.google.com/open?id=12mPsL-hzD4avZi8HjWz7mEBp0qXKThV3, https://drive.google.com/open?id=1xzOuquOEfyYMgIZDk9lBy8gN-ovenc-8, https://drive.google.com/open?id=1BGTWjIxU6wewC_uWpCxA8PMQ9XzaR_Hf</t>
  </si>
  <si>
    <t>Ánh</t>
  </si>
  <si>
    <t>0979516851</t>
  </si>
  <si>
    <t>https://drive.google.com/open?id=1SfhvLk8RFwFkTNlQkKq2TH-UoC2CyVp8, https://drive.google.com/open?id=1EG8qjHIu4b62WUUe33hAM-nJs4anKQ-C, https://drive.google.com/open?id=1RCq1EtzaGSzigCc8c6Z2a1i67_y9Y3_r, https://drive.google.com/open?id=1HQoFqSyF81W35nSrdqFqnEFPiCLhJ1nG, https://drive.google.com/open?id=1jub5-ygutTLaprhq-M_m3E1iI5gj_TuC</t>
  </si>
  <si>
    <t>0908587688</t>
  </si>
  <si>
    <t>Thay PGP CTO RO 5640</t>
  </si>
  <si>
    <t>https://drive.google.com/open?id=1eLaPE1bZmuCwmaapN7y-YVYP69uWJBXf, https://drive.google.com/open?id=1F4IWmZAHzoG_Ia_KqTYJEWifKior2_St, https://drive.google.com/open?id=1sY5RcsUdC-XEqVGYekyiUNFEubHtaXVU, https://drive.google.com/open?id=1cjO0UIta_yGCWfrEAJzi07Cw70IAJD_j, https://drive.google.com/open?id=1llJLFXjhCjS0NcGG3IfooknHfpMHYBdY</t>
  </si>
  <si>
    <t>0987050930</t>
  </si>
  <si>
    <t>https://drive.google.com/open?id=12lGmmY8nFldNRXx2CfRyurrsmzwN20-T, https://drive.google.com/open?id=1Hw4GunxrU5kgMGDmTU7GV5USSE59o2ez, https://drive.google.com/open?id=1Mz2Qxr0PIsURUpUPnZIpIl9PU2w3uOCs, https://drive.google.com/open?id=1qrWzTjQ08NR-xhwbdx7fh9K8fWwIraJu, https://drive.google.com/open?id=1TN45czgGss5AijJXu_T8FAhwxBh22-yY</t>
  </si>
  <si>
    <t>0902426768</t>
  </si>
  <si>
    <t>PGP +CTO Delica 5840</t>
  </si>
  <si>
    <t>https://drive.google.com/open?id=1XShXTL55jVcgh2oS4F_96dFr-bH3fuEu, https://drive.google.com/open?id=1LM4dGWooVaEiSaDAYlx0siZRECQDgo5S, https://drive.google.com/open?id=19S_q5N7X5itOcUj2xVeFDIcsf-dlUVbA, https://drive.google.com/open?id=1sgQR6RJKmRtjbGJncj1nybAzBsKZef0v, https://drive.google.com/open?id=1D_9HyeqwFZUOJlHTN5-Ov2nFBzO7Se9d</t>
  </si>
  <si>
    <t>Đã hoàn thành ca thay lõi lọc PGP+ CTO Delica 5840</t>
  </si>
  <si>
    <t>Nguyễn Mai Hùng</t>
  </si>
  <si>
    <t>0797944555</t>
  </si>
  <si>
    <t>https://drive.google.com/open?id=1XO5eHxbBElQS1f9sWGVR3mc2Jy3f4_F0, https://drive.google.com/open?id=1-c2bOfW5xchnf5lgHzdcuVlCPMr94Wmn, https://drive.google.com/open?id=16TGinDFnadiv5y-9b_ili501tu42xrum, https://drive.google.com/open?id=1FfWiFkk-ND2xdWcxuBWDlZr_WCp70q_t, https://drive.google.com/open?id=1tnvH_-JsipJy3AaHiebl2ctDbDqIru8k</t>
  </si>
  <si>
    <t>Lê Thị Minh Khuê</t>
  </si>
  <si>
    <t>0359209859</t>
  </si>
  <si>
    <t>https://drive.google.com/open?id=1BsLFF24s8PLPNFs_xR1JE-3odv1Uy0vk, https://drive.google.com/open?id=170nwNbXiyZwBDxpKMx9-qtfYAXngUgif, https://drive.google.com/open?id=11zr23xjmougHqA--zQhgiNxX4pfwCrcF, https://drive.google.com/open?id=1d2Jn4UUy_OSPd6mUatsl7Rn5NTYEMKHz, https://drive.google.com/open?id=1lH9B8-lnSYyhJNMjlFYQdqsO-VxYx06E</t>
  </si>
  <si>
    <t>Anh Lâm</t>
  </si>
  <si>
    <t>0932447772</t>
  </si>
  <si>
    <t>https://drive.google.com/open?id=1IPNfXqQli0tMzVdbvoIlziEcHmciYL-a, https://drive.google.com/open?id=1chfTw-J-GuEI-L7atsCFN26PV-JApgZG, https://drive.google.com/open?id=1GCcHGObfC9vRKHZDpM83BxgLAAgDsSlg, https://drive.google.com/open?id=19ZYy5Kj47rm_rllwgJXd0uMPSCgLQpWH, https://drive.google.com/open?id=1k2cGLTmNSTaDZ0rD4fddCM6cmGlgnh3K</t>
  </si>
  <si>
    <t>Ngọc hà</t>
  </si>
  <si>
    <t>0961082999</t>
  </si>
  <si>
    <t>https://drive.google.com/open?id=1o6teOxb5YGQ233GM5qt_fHKCOHlMTvc2, https://drive.google.com/open?id=1M1eiDYNmy_kv2O-IU9OjpdxQBQQCkEn9, https://drive.google.com/open?id=19xuBIqB7soniyF_aXPloRKC2cNaE5KsY, https://drive.google.com/open?id=1BzV7gFGdpgwu7oCBkHdPxroXj9SoapgV</t>
  </si>
  <si>
    <t>Anh Thùy</t>
  </si>
  <si>
    <t>0969858699</t>
  </si>
  <si>
    <t>Pgp+ cto 5840</t>
  </si>
  <si>
    <t>https://drive.google.com/open?id=1oBXISC0R2P0xktFIBWPeu7JqKgP7DOPI, https://drive.google.com/open?id=17_TtWpHZNBJeHwC6Mj2a0tqWWhB44Eog, https://drive.google.com/open?id=1VGcblYtWGXb86VLEk-y2hP_oXsN2xFth, https://drive.google.com/open?id=1MfeiZ6xPHeSZM5SKvhof6LTlqIOQtejj, https://drive.google.com/open?id=1GgHhBs5HrEAtCZFrTYF5rBGKDCq9xqr9</t>
  </si>
  <si>
    <t>nguyễn tiêu lan</t>
  </si>
  <si>
    <t>0905110536</t>
  </si>
  <si>
    <t>https://drive.google.com/open?id=1PtfBItHFWkzMHSJWOYhmhCiJe3_D0gFw, https://drive.google.com/open?id=1GdaSwVmSGVzgsPYnZEComrP2TcKAkjTJ, https://drive.google.com/open?id=17oNZ9-ivkgL3qBx93nepE_3Kgcn79hjw, https://drive.google.com/open?id=1P_dnuMVT5NlYksgoLkY13my_2Vif-kLZ, https://drive.google.com/open?id=1DONWFCD0Ey7h7w1RUPT1Bn9VRs8MMQXd</t>
  </si>
  <si>
    <t>Chi Kim</t>
  </si>
  <si>
    <t>0765526088</t>
  </si>
  <si>
    <t>https://drive.google.com/open?id=1ympINfLb0m7sdSi4nPiAtYwNMJGW_KRN, https://drive.google.com/open?id=14xMtyze9RMW-GHsuG8HxcXHloNIoWyel, https://drive.google.com/open?id=12Qep4eoXIpPpJzOxzy-m0oYK00YEYoFV, https://drive.google.com/open?id=1U-JKT_PF7F6dug46dOysSAag8wPJxEh6, https://drive.google.com/open?id=1LF04499VynFzSdVd-ptKXZpZsRNOCEG9</t>
  </si>
  <si>
    <t>Chuyen khoan, đa koch hoat bao hanh</t>
  </si>
  <si>
    <t xml:space="preserve">Chị Huệ </t>
  </si>
  <si>
    <t>0979630682</t>
  </si>
  <si>
    <t>]==]</t>
  </si>
  <si>
    <t>https://drive.google.com/open?id=19673zXMYN2sIZYXpSfT6Fr7nQVrE04Jx, https://drive.google.com/open?id=19uSa8Od4dVbJwGCsQqYShhEALz_vvCzw, https://drive.google.com/open?id=1VDCDILuvtkJ9YEXRZH84ESbaG9QjEgJj, https://drive.google.com/open?id=1TCYMCvoou1evFHq6syCt2V2nVd3xqPcl, https://drive.google.com/open?id=1BgqbeUZwRh1Q2MvIqDWVbU6GwZEOFVls</t>
  </si>
  <si>
    <t>Chị hảo</t>
  </si>
  <si>
    <t>0943223889</t>
  </si>
  <si>
    <t>https://drive.google.com/open?id=1klp45MpUz0rIzlVZ0TjfMciQYp3Wy9h6, https://drive.google.com/open?id=10Xb0JpN7K7Woa-STQTGbum70WJodVi_U, https://drive.google.com/open?id=1-f7s_GzVAMbvGIUchapCdPzBZhFyAT87, https://drive.google.com/open?id=11zA9ZNzhjm_a1wPQR6IsWAn2a0CmmGc9</t>
  </si>
  <si>
    <t>Lắp máy mới thu máy utima về kho</t>
  </si>
  <si>
    <t>Ông nhận</t>
  </si>
  <si>
    <t>0914777121</t>
  </si>
  <si>
    <t>https://drive.google.com/open?id=1nbA0pBY32VdX3b73jyB4W5YhB_NL75K7, https://drive.google.com/open?id=1FqG2dxREExYPllvFylopUDFrmzoUMOQA</t>
  </si>
  <si>
    <t>Trần mai thảo</t>
  </si>
  <si>
    <t>0963058136</t>
  </si>
  <si>
    <t>https://drive.google.com/open?id=1CnOPeDPhKaxB40kZVJsxwX6YSh-Sd5BN, https://drive.google.com/open?id=16qHmiQkJNF5VzLWar8fwfiCxzY6BsYmL, https://drive.google.com/open?id=1JVJV7AZmJt4qYGRvjBym0FQb81IVSncF, https://drive.google.com/open?id=1ZMrza1zxks6ubPmJbgdAUQAbNtqmIJGp, https://drive.google.com/open?id=12voE4M4yiyBs_sJY9iQqTPf_za4v4Czf</t>
  </si>
  <si>
    <t>Chú dưỡng</t>
  </si>
  <si>
    <t>0981373615</t>
  </si>
  <si>
    <t>https://drive.google.com/open?id=1HvZy1MNyHA1oHuUAdZY6csz7OCHUWcuc, https://drive.google.com/open?id=1QcpLDzG-kZAeEA8ALz0-Nswjn50UZaI5</t>
  </si>
  <si>
    <t>Vòi ur 61096</t>
  </si>
  <si>
    <t>https://drive.google.com/open?id=1mQr9_vW2AbFPMRYmUK6sRTx6XQpwEaxJ, https://drive.google.com/open?id=1iJN_4AGZyb4Z12KO0kEW4bPAnHOwbv0h</t>
  </si>
  <si>
    <t>Đã giao hiệp trả sip</t>
  </si>
  <si>
    <t>Vũ Kim Ngân</t>
  </si>
  <si>
    <t>0932907044</t>
  </si>
  <si>
    <t>TRULIVA .Ur 61096H</t>
  </si>
  <si>
    <t>https://drive.google.com/open?id=1gJI125lLkeLofxqgNFEbADM-4CDBzmr1</t>
  </si>
  <si>
    <t>Đã hoàn thành ca giao + lắp đặt RU61096H</t>
  </si>
  <si>
    <t>A quý</t>
  </si>
  <si>
    <t>0708989959</t>
  </si>
  <si>
    <t>Pgp cto to 56</t>
  </si>
  <si>
    <t>https://drive.google.com/open?id=1ncZtCF7fpbv_2nH4amhKayss-TtYB6Hd, https://drive.google.com/open?id=1x1YryO2ixw29DSrW8QMZZUJsgmtXuKs9, https://drive.google.com/open?id=1bj9Y918NQLxrC5o5ZwfT-bRHgUhEqw8Q, https://drive.google.com/open?id=1B9Q_5bcjJx7_tDa5p97BoFvyS0MLmh4B</t>
  </si>
  <si>
    <t>S</t>
  </si>
  <si>
    <t>A dương</t>
  </si>
  <si>
    <t>Đổi máy ủ61096h</t>
  </si>
  <si>
    <t>https://drive.google.com/open?id=1zhLfutltc3Yk7Hx6RGeFUPO01Hhwjt8A, https://drive.google.com/open?id=1c595-agupITltkq2U0abtA6B7WCxlKJG, https://drive.google.com/open?id=1ADqZzF_fTPMf-Pbsxde8ZJVmkcRtQT2H, https://drive.google.com/open?id=1fRKk6jlwSa0JP4xZYxgVA8Hg4riHUaK4</t>
  </si>
  <si>
    <t>Tuấn</t>
  </si>
  <si>
    <t>0931157789</t>
  </si>
  <si>
    <t>Ur6096H</t>
  </si>
  <si>
    <t>https://drive.google.com/open?id=1SHEJabzzVyrfpdn86uGJhHrwltwZI62l, https://drive.google.com/open?id=1pX3DDdc44sob5Ac8Z22f0Gcpuc7SmSky, https://drive.google.com/open?id=1s0dLxWfn0iMgwbQQxfdRX1DoFpqqWHnc, https://drive.google.com/open?id=1gs-xs87iTB5lPAtNZLMT5YZF-HItGUa2, https://drive.google.com/open?id=1l4GSiDd2PMGgpCI7hk1Zdt_3XQsf6cQN</t>
  </si>
  <si>
    <t>0383516464</t>
  </si>
  <si>
    <t>https://drive.google.com/open?id=1JP6J7gtq_1We9DCyrHgVhcUJawuUdBiF, https://drive.google.com/open?id=1nFJuekELBBCa5ha_jGvlZZINyzWP69SS, https://drive.google.com/open?id=1d436_2Li0CagRaRmdmM-iquERFoCoddt, https://drive.google.com/open?id=19V5haTE6iQ4LTjwImnH8vw1F5TN5rtKQ</t>
  </si>
  <si>
    <t>Chị Sang</t>
  </si>
  <si>
    <t>0916078377</t>
  </si>
  <si>
    <t>https://drive.google.com/open?id=1ApjGhYS-OyRZ0whBIKUrBTe2k0rM1oun, https://drive.google.com/open?id=1jZuIq1Z5P-m0BbpdGXzSG5XodzhOuZ4X, https://drive.google.com/open?id=1d5EgMG6eJtyEj7TQ-h4FeeXzzHavcKDL, https://drive.google.com/open?id=157ae2ZVNnOTugAilJ7_WqmjwxAXL6Kw5, https://drive.google.com/open?id=1RM_JXXofVPDfRZA0tdafPaVLBvpOtx8T</t>
  </si>
  <si>
    <t>Thay PGP CTO RO ( giảm 10%)</t>
  </si>
  <si>
    <t>Chị diễm quỳnh</t>
  </si>
  <si>
    <t>https://drive.google.com/open?id=14cpG7ebHQSHxTmYE3Yo3IRQ1JJ4UEccU, https://drive.google.com/open?id=1KZugUZyp1PgqwpLW8dgYNYq7ezupx5k0, https://drive.google.com/open?id=1eahvrkMY3R_8wuIKOCSOM0pum0RxoLxf, https://drive.google.com/open?id=1puOLyzQbScLhEHy56DQ-MYw6-pnqViU7</t>
  </si>
  <si>
    <t>Máy bình thường không rò rỉ
Kh theo dõi thêm</t>
  </si>
  <si>
    <t>Nguyễn văn cao</t>
  </si>
  <si>
    <t>0971397335</t>
  </si>
  <si>
    <t>Ur5770</t>
  </si>
  <si>
    <t>Bơm không hoạt động</t>
  </si>
  <si>
    <t>https://drive.google.com/open?id=188opiOD6QJd3vVUoyKO2IMVOAMdVJRRl</t>
  </si>
  <si>
    <t>Máy bình thường</t>
  </si>
  <si>
    <t>Chị dung</t>
  </si>
  <si>
    <t>0903949389</t>
  </si>
  <si>
    <t>Lấy mẫu test nước</t>
  </si>
  <si>
    <t>https://drive.google.com/open?id=1iOi2MlRQWpZopZk-5Mpdhf6xiPcVQ2Ep, https://drive.google.com/open?id=1728LbG-34NrNyBQjW9miiyT3nSVoX9YD, https://drive.google.com/open?id=154MkhN22YxN3leyKszlNdwX_135_X9if, https://drive.google.com/open?id=1NydbVk3lGQpQezkv6CgZRm9iaUF9Pa9j</t>
  </si>
  <si>
    <t>Mc hoàng anh 120k dây điện, ổ cắm
Chai thuỷ tinh 80k, bình nước suối 5l 35k</t>
  </si>
  <si>
    <t>Vân</t>
  </si>
  <si>
    <t>0908511055</t>
  </si>
  <si>
    <t>https://drive.google.com/open?id=1wxOPwRYiP_ZRg-tY7y0FI1E9rhk6jb38, https://drive.google.com/open?id=1yOg9GjlQ64fOUJoSQjUpBkKbZYATXJ_7, https://drive.google.com/open?id=1SSKBaSWI8U_OOBrOdHVnGBBozK8AV4dv, https://drive.google.com/open?id=1ascvFoxcZk6292VZX7HLGgEHw6LmN5Oh, https://drive.google.com/open?id=1uH_eW72I_ouuEPuAm-G9XuMAqo2T9BYd</t>
  </si>
  <si>
    <t>Tien mat 1400k</t>
  </si>
  <si>
    <t>A hoà</t>
  </si>
  <si>
    <t>0977218866</t>
  </si>
  <si>
    <t>https://drive.google.com/open?id=1FUc93_NHJF5EHYnurQChW3WVyxhfogFa, https://drive.google.com/open?id=1NJ3tX_76BtH1dbnlndxF7El07324LUxW</t>
  </si>
  <si>
    <t>Huyền</t>
  </si>
  <si>
    <t>0943732666</t>
  </si>
  <si>
    <t>Pgpcto54</t>
  </si>
  <si>
    <t>https://drive.google.com/open?id=1O5MBq6p9da5oN1WEgF418ypA5q-nb9UD, https://drive.google.com/open?id=1U2VYDo5DQPfYPgIuv7enhHLe57jKuSFI, https://drive.google.com/open?id=1kAaGWzD_hpf8vI7D-BqVdqdMTm6sGTZn, https://drive.google.com/open?id=1kzMOuME-8xl8NmEuLXIEMBsKIydao_pX, https://drive.google.com/open?id=1R3ZY0XKmnJIR7Ck2OMGTXneQuxr3VD1F</t>
  </si>
  <si>
    <t>0974512051</t>
  </si>
  <si>
    <t>https://drive.google.com/open?id=15b9IXgjF5SamCmX4xzmGwjSYxH6uWvAh, https://drive.google.com/open?id=1mYZdcpZplUiAid8qcK9cPmrEXx1E5IHD, https://drive.google.com/open?id=1Tho1rP0KhHmfa75Y6YOPkU8BzkWodiV2, https://drive.google.com/open?id=1xGLWIz-l4TVxZ_QfPcGyCaLEd_T-bj--, https://drive.google.com/open?id=1YirnYeX5leDmmwUKs96PsLn-_G3Q08Vl</t>
  </si>
  <si>
    <t>Chi Diệp</t>
  </si>
  <si>
    <t>0917736960</t>
  </si>
  <si>
    <t>https://drive.google.com/open?id=1xR8RbcuVCEOr6S8BtgiWZtdNljVzxRei, https://drive.google.com/open?id=1JlRNh9mPrfM3XyaltZexDYA3S1CgtD-Z, https://drive.google.com/open?id=1zQGXBntzN7wDda1Fvr7kM5KBmsspiYfd, https://drive.google.com/open?id=1QyjTlhDT8MRjjVWLw7bTegYdJrjDYHj4</t>
  </si>
  <si>
    <t>Tien mat 1405k</t>
  </si>
  <si>
    <t>Chi Trinh</t>
  </si>
  <si>
    <t>0908336698</t>
  </si>
  <si>
    <t>https://drive.google.com/open?id=1dFIIlRUC59HCx1Zv5ooxgoPoVYNLeyD2, https://drive.google.com/open?id=1Y7_NBMlu26XJPva1s02OBZpqbgwNOdfU, https://drive.google.com/open?id=1ZJIKA6hYRggqrtLga4_kBYGfcvde3JnY, https://drive.google.com/open?id=1h4YF9K2dJ-JIE1TRHgp2YBJJyunsMOVb, https://drive.google.com/open?id=1s_WmKmEixLVc8cXef4CRFxMFVHnMrh1K</t>
  </si>
  <si>
    <t>Chuyen khoan 1540k</t>
  </si>
  <si>
    <t>0947685565</t>
  </si>
  <si>
    <r>
      <rPr/>
      <t xml:space="preserve">https://drive.google.com/open?id=1eVRij_aPyeg14oX8FlnCz_0XYXlNgiiM, https://drive.google.com/open?id=11QnnKQrpNb4Ag_XqeJvmy8oIWnZvUGpm, https://drive.google.com/open?id=16Y17ttxY77I5lOm0MvXMyZdnlOs-4D3T, https://drive.google.com/open?id=1n4iiT6j_STqYc8-M38RRH6zcz16IwbVE, </t>
    </r>
    <r>
      <rPr>
        <color rgb="FF1155CC"/>
        <u/>
      </rPr>
      <t>https://drive.google.com/open?id=1Mhlcb3GaJQWFusqWhL_MAAmBJjHhJDRF</t>
    </r>
  </si>
  <si>
    <t>Archana raja</t>
  </si>
  <si>
    <t>0981921557</t>
  </si>
  <si>
    <t>https://drive.google.com/open?id=1OzINi1-zJxcKel0uKWZPETg5koMi2MIz, https://drive.google.com/open?id=1jYaiYQgb7xk79B6Su4TeNdp0iZ_7BHR6, https://drive.google.com/open?id=1xYK-YC_kzHCN0K01snKqAVc5mTz4yGW7, https://drive.google.com/open?id=1-7ZZVMDmCrr_NaFf1l7DjZl1-2QNJdfV, https://drive.google.com/open?id=1wd763ER3mB0HT_DoVKey8qIn-q84EMSn</t>
  </si>
  <si>
    <t>Chị giang</t>
  </si>
  <si>
    <t>0934220093</t>
  </si>
  <si>
    <t>https://drive.google.com/open?id=1Mf3WKeNx4QFNmzJwphoIuEJ-9IqeBMIA, https://drive.google.com/open?id=1ftIRWvzg0PXcTTGdXikZ5JcmbYcUuHVX, https://drive.google.com/open?id=1zugWkhDCSIYAlTXU50FtHoeDaFhO2257, https://drive.google.com/open?id=1bG7fDJVJtePBnGeThyR-RoTDfiA46Lvp, https://drive.google.com/open?id=1gHKxvQeKx_ojNgc0rUo47N1Azq0NueUQ</t>
  </si>
  <si>
    <t xml:space="preserve">Anh Hà Trương </t>
  </si>
  <si>
    <t>0907779366</t>
  </si>
  <si>
    <t>Trliva Ur 61096H</t>
  </si>
  <si>
    <t>https://drive.google.com/open?id=14dV5u2_5PmZITVz8BH290MJ8gR6QEgiO</t>
  </si>
  <si>
    <t xml:space="preserve">KTV đã hoàn thành ca lắp đặt Ur16096H Anh Hà Trương </t>
  </si>
  <si>
    <t>0988875554</t>
  </si>
  <si>
    <t>https://drive.google.com/open?id=1_iSKQb5Cnfq-ebJdwT3TIryjopEwk77c, https://drive.google.com/open?id=1o_0Q72u4oZpd_mlScnxndlNOjOmehVjS</t>
  </si>
  <si>
    <t>Chị Minh Trang</t>
  </si>
  <si>
    <t>0907986403</t>
  </si>
  <si>
    <t>https://drive.google.com/open?id=12PuCANnHf8tsKI034gjmLMj4KvfzHrp5, https://drive.google.com/open?id=1TSbO6Dqrv303FflJGbumpllYORJeEyrX, https://drive.google.com/open?id=1amqP8lkQkVyl4R0G7kvuSYI8O23fWwqE, https://drive.google.com/open?id=14BIt5JqJ6Iu4dJh-ZyUFY4Zk9DEClSb2, https://drive.google.com/open?id=1k6LFbHFeYHaZpdBIzULhiPwDnMNYrCnl</t>
  </si>
  <si>
    <t>Cty giao, ktv lắp, khách ck cho sale 3300k</t>
  </si>
  <si>
    <t>0985860988</t>
  </si>
  <si>
    <t>https://drive.google.com/open?id=1UEILLwregPoJHpVMUx164gZYcyVaBiqa, https://drive.google.com/open?id=1b2Qf1OOcRAPvgdSz5e4j0Rj7CF00f9UG, https://drive.google.com/open?id=1peOw_iOx1zbRiveGAHnx2KpFE75CS4df, https://drive.google.com/open?id=1ugyAQrIQKKPcCKFt8XuULpRW4TKt5gPV, https://drive.google.com/open?id=1S03SZgqHGFUxCNN9sAA-sXLx4-emr-s2</t>
  </si>
  <si>
    <t>Nguyễn Thanh</t>
  </si>
  <si>
    <t>0909399445</t>
  </si>
  <si>
    <t>máy 1096h</t>
  </si>
  <si>
    <t>https://drive.google.com/open?id=1-mDajvwpuiMHRfQJsjnjBOAq89SH6Lfq, https://drive.google.com/open?id=18Ote4v6vLHbCScHDgHMg3p8ULwMMOD9C</t>
  </si>
  <si>
    <t>giao hàng cho a tuấn ktv lắp</t>
  </si>
  <si>
    <t>Nguyễn Vũ Viên Dương</t>
  </si>
  <si>
    <t>https://drive.google.com/open?id=1_neUHJLZ0jjyda-R_24GgZE6S8RqSp8G, https://drive.google.com/open?id=1K7eM2cdhs-8iAo6uK7vojTya33_a0Wmb</t>
  </si>
  <si>
    <t>giao hàng cho thế hiếu ktv</t>
  </si>
  <si>
    <t>A DƯơng</t>
  </si>
  <si>
    <t>0906818009</t>
  </si>
  <si>
    <t>lõi lọc 5840</t>
  </si>
  <si>
    <r>
      <rPr/>
      <t xml:space="preserve">https://drive.google.com/open?id=1KUHcxkA7SPROQSeGM2SzXpFPdSa5ePQ_, https://drive.google.com/open?id=1RB_oCoNw4o28vR1CilfEiSUr1aqycB48, https://drive.google.com/open?id=1Hr__ACFmbjltPA3OmBOODXOfb02YbzkH, </t>
    </r>
    <r>
      <rPr>
        <color rgb="FF1155CC"/>
        <u/>
      </rPr>
      <t>https://drive.google.com/open?id=1_7TwvupXjH7ox_w56Fh4zsYd_djn6S3Z</t>
    </r>
  </si>
  <si>
    <t>thay lọc khách đã chuyển khoản thanh toán</t>
  </si>
  <si>
    <t>Hào Phong</t>
  </si>
  <si>
    <t>0909471919</t>
  </si>
  <si>
    <t>lõi lọc 5440</t>
  </si>
  <si>
    <t>https://drive.google.com/open?id=1JRyPlD0sXnla9YtpIkS2f1ohrA6mALzi, https://drive.google.com/open?id=1ZLJDcc5k6FMe_ZKQnzw7hOijdu9TlfLW, https://drive.google.com/open?id=1N5NLq06I0V8FUFRuq5l39PnsNBCCSVsF, https://drive.google.com/open?id=1eIxMaDCAejnPQug_qYhOgH761C3nMM1x, https://drive.google.com/open?id=14mpfZ9-b8vtRoWY0o56NXR9WwdGVfQAL</t>
  </si>
  <si>
    <t xml:space="preserve">khách hàng đưa tiền mặt </t>
  </si>
  <si>
    <t>huynh tran</t>
  </si>
  <si>
    <t>lõi lọc</t>
  </si>
  <si>
    <t>https://drive.google.com/open?id=1FW_Xl3a4qWknVqiXvgpuR5wMbZjKFOq7</t>
  </si>
  <si>
    <t>giao hàng ra chành xe hùng cường ngày 4/3</t>
  </si>
  <si>
    <t xml:space="preserve">Linh Linh </t>
  </si>
  <si>
    <t>máy lọc không khí</t>
  </si>
  <si>
    <t>https://drive.google.com/open?id=1U7oj2Fi6vmfUH6FCs8DjPRuVUW7uRBdu</t>
  </si>
  <si>
    <t>giao tặng khách máy lọc không khí 8/3</t>
  </si>
  <si>
    <t xml:space="preserve">Anh PHụng </t>
  </si>
  <si>
    <t>0399900840</t>
  </si>
  <si>
    <t>https://drive.google.com/open?id=1nsLAEndDsaYcJChuPJNl72pMHY0VtyRX, https://drive.google.com/open?id=1QjE-kLYDG7LL18Y-3g_SR_yT-Wi4SQWG</t>
  </si>
  <si>
    <t xml:space="preserve">giao lõi lọc cho a phụng ngày 9/3 </t>
  </si>
  <si>
    <t xml:space="preserve">. </t>
  </si>
  <si>
    <t>Nguyễn Ngọc Xuân - Nông Thành Chính</t>
  </si>
  <si>
    <t>lõi lọc - máy 1096h</t>
  </si>
  <si>
    <t>https://drive.google.com/open?id=1hIZJDTQlt3I1fF5IdpnbOOK0O3WD__pY, https://drive.google.com/open?id=1b9n2pxkrZ5lvZ2W5BhoIMZuoTxJTBw_I</t>
  </si>
  <si>
    <t xml:space="preserve">giao hàng chành xe futa cho ktv </t>
  </si>
  <si>
    <t>A Khánh ktv</t>
  </si>
  <si>
    <t>0357573357</t>
  </si>
  <si>
    <t>https://drive.google.com/open?id=1yDz72H9Dz1ELLibtBeyS2ExBGC1M-pAn</t>
  </si>
  <si>
    <t xml:space="preserve">giao hàng ra chành xe Hoàn Cầu ngày 9/3 cho a khánh </t>
  </si>
  <si>
    <t>A Chương</t>
  </si>
  <si>
    <t>https://drive.google.com/open?id=1aOO6QaaqcmkJ72Po9hskHjpzJIwCZdtc</t>
  </si>
  <si>
    <t>giao hàng cho a chương ngày 9/3</t>
  </si>
  <si>
    <t xml:space="preserve">A Trang </t>
  </si>
  <si>
    <t>0936210169</t>
  </si>
  <si>
    <t>máy w6412 - máy 1096h</t>
  </si>
  <si>
    <t>https://drive.google.com/open?id=1WnOlHvpwnsWVmmCPOat1Pr3cEbPMVkur, https://drive.google.com/open?id=1XEdzVOhpRvvFrMxl7AIinDS8V4wUJ4gk</t>
  </si>
  <si>
    <t xml:space="preserve">giao hàng cho bên quatest 3 ngày 10/3 và ngày 17/3 thu hồi về </t>
  </si>
  <si>
    <t>Ngô Lan</t>
  </si>
  <si>
    <t>0974428376</t>
  </si>
  <si>
    <t>https://drive.google.com/open?id=1pY_bMWLDI2Mvb4eKgh3XaxyHrQcpKg1l, https://drive.google.com/open?id=1v1e8578qvhRr_cFg90VIOnaWSL5y1vwo, https://drive.google.com/open?id=1ENo-ieUcJUlyxOM2K_N3OJAIn2LqWzr6, https://drive.google.com/open?id=17MX_-GBdNqJbkdctoOJERvoH_hZsi6to, https://drive.google.com/open?id=1O2eJoO5-6TjzLNoDsQhdhxbrGAe47K2g</t>
  </si>
  <si>
    <t>Tăng ca</t>
  </si>
  <si>
    <t>Anh Ấn</t>
  </si>
  <si>
    <t>0988531754</t>
  </si>
  <si>
    <t>https://drive.google.com/open?id=1renDCNfvq0BYlpXiGcLhpBK4vcKTetWT, https://drive.google.com/open?id=1vv07yMSb2ZE0fw_XZuxwDViaF-djHDmB, https://drive.google.com/open?id=1w84unwmYOa1KIMCKnPTQw6nEBf4FXo0b, https://drive.google.com/open?id=1NNszGHOpvKbnE5prXtFNgGlj6_sX3dUu, https://drive.google.com/open?id=17To4NDx2uSjV065xPrPJkKTHqPcTFH9K</t>
  </si>
  <si>
    <t>Anh Dương</t>
  </si>
  <si>
    <t>https://drive.google.com/open?id=1tH17hqHuHWOXnXyYfUt9fXOCiyC3zRg_, https://drive.google.com/open?id=1dmZg2WkffpIKkGdgntsMDnlbnA4H9Kka, https://drive.google.com/open?id=1M_GLMYAudfwr2_fSEV75ilN3YfTW9YvU, https://drive.google.com/open?id=1EoorYYuwvm1kHwDGCt5x5GRI8zz1cIiN, https://drive.google.com/open?id=1Q0C2LhbzKWX-2to23nbGijuarL2YktLJ</t>
  </si>
  <si>
    <t>chị Minh Thúy</t>
  </si>
  <si>
    <t>https://drive.google.com/open?id=1OzWCaNj9ljR6qs0SSvhs2AQIDxaq0x7w, https://drive.google.com/open?id=1zRPfJhJ_KQqVb99cll59omxmKSmn7Wm7, https://drive.google.com/open?id=1Wre6b4l-sqo8wvd3dR6-qkuN62LqnYQf</t>
  </si>
  <si>
    <t>cô Phúc</t>
  </si>
  <si>
    <t>0963212112</t>
  </si>
  <si>
    <t>https://drive.google.com/open?id=1iNCrEu8CGVqmxSN4IdlTmmYfyfE-XExf, https://drive.google.com/open?id=1TblgvPv5DyKb81_4tWTCz2qKMg-zRvl9, https://drive.google.com/open?id=1olcJFev0IGe00RS8mK5hjYHr-EaS2GzX, https://drive.google.com/open?id=1VgZVsQvK26iSnySJUPPDZAEzPFhVqubh, https://drive.google.com/open?id=1t618NmhFIw75Clkn6rpRp2Izf1aow2rY</t>
  </si>
  <si>
    <t>chị Châu</t>
  </si>
  <si>
    <t>0935988833</t>
  </si>
  <si>
    <t>https://drive.google.com/open?id=1BkilgOaSC_9AFIpeir39mr4Y_xk0-03x, https://drive.google.com/open?id=18eRZnihnwEhjH-D7dgZMyA8HSU4x93E4, https://drive.google.com/open?id=1E7c0FTHd5uBhHqHWExXO27863pRDI5wc, https://drive.google.com/open?id=1ql1dmdbbCs3K_HceZ5m2xzPo6CVGGgKk, https://drive.google.com/open?id=1_jSFp4P4duEiD2Sup0IsBqcRift9Z-yH</t>
  </si>
  <si>
    <t>chị Vi</t>
  </si>
  <si>
    <t>0903505415</t>
  </si>
  <si>
    <t>https://drive.google.com/open?id=137UoBVm4YpAV9RHeBovLl7X4oC_tU9Vx, https://drive.google.com/open?id=19IAGUy-0QKk57S0o-bi5g_LbbIaLcqp-, https://drive.google.com/open?id=1ZbRm3pXzb30utyFwp0H5g8NgbWWjnrYi, https://drive.google.com/open?id=1hrwDZkfD5RJjTF0OYP0HmxvZY2ZG2O8J, https://drive.google.com/open?id=1CZhq06U-3zHOmUVKz63MrIITylcjFbdh</t>
  </si>
  <si>
    <t>Nguyễn thanh</t>
  </si>
  <si>
    <t>https://drive.google.com/open?id=1NA-_gl9YhQa_K2DDZgMDu2CtmDOqnVK-, https://drive.google.com/open?id=1X1LI7wk2n29kcgwzz9FCKS5iEajSuVO4, https://drive.google.com/open?id=10KWmszl-tZV4sTsPNbVv62fYS8v1UIWA, https://drive.google.com/open?id=1wXYnTNfzU-ixjt6qOY2_UCvFtz2TdLYL, https://drive.google.com/open?id=1aI65Ltu42e61V0byfdAwcPMCkvV1FQ9Q</t>
  </si>
  <si>
    <t>0355661164</t>
  </si>
  <si>
    <t>https://drive.google.com/open?id=1PGzTyyWML_OErWAZhd9X3z4irsysla3J, https://drive.google.com/open?id=1Qra1d88K8KzC2tUT7Nmfjca2z3xUm-iE, https://drive.google.com/open?id=18WZZYEHe-uB0PZDUVSP1JyNjobpaFtTT, https://drive.google.com/open?id=1kTu4haNjkhDtWrFOjfL-p6eOATdNECI6, https://drive.google.com/open?id=1L1bmPzvPJUw4YhtgnHreRa0etEajCPAD</t>
  </si>
  <si>
    <t>Đã thanh toán xong</t>
  </si>
  <si>
    <t>Anh Lân</t>
  </si>
  <si>
    <t>0962678561</t>
  </si>
  <si>
    <t>https://drive.google.com/open?id=1Vx6EiK6lQkdi85e6mdYt1Ooyh-qlOFy-, https://drive.google.com/open?id=1I99DlvdAZsYlvFMQX3iXyB7eGxey3EGT, https://drive.google.com/open?id=1lgGpwPAXSNqBnAKDhLTMmEoa-s4gtzNr, https://drive.google.com/open?id=1Xb0koMzcfV4AG1P72Jlu57ldQUj0GgbD, https://drive.google.com/open?id=1Fq7rDibnNEsKq4Okti5P65o6imfqsX9Y</t>
  </si>
  <si>
    <t>VNN HOME</t>
  </si>
  <si>
    <t>0899616383</t>
  </si>
  <si>
    <t>Hà Tĩnh</t>
  </si>
  <si>
    <t>Ur 61096.  Delica 5840</t>
  </si>
  <si>
    <t>https://drive.google.com/open?id=1j48kwCh9hswRCk81OdeRk9lOkbbxH9DU, https://drive.google.com/open?id=16qakL6_X6beNBiXOuqpI1YbzKwkh9yml, https://drive.google.com/open?id=16SvgiTyfPjsAGD90e5E6Rt_0_KeiDlnb</t>
  </si>
  <si>
    <t>Đã giao hàng, tiền cước 282k</t>
  </si>
  <si>
    <t>Chị Hồng</t>
  </si>
  <si>
    <t>0911150363</t>
  </si>
  <si>
    <t>https://drive.google.com/open?id=1_FyGDIDmiEd6g629MPhPNNGoHRPlj2G2</t>
  </si>
  <si>
    <t>Chị Hải Hà</t>
  </si>
  <si>
    <t>0945618448</t>
  </si>
  <si>
    <t>https://drive.google.com/open?id=1vYybj-cZfF4ciPqCBFJ0mOm2B1KEi8ig, https://drive.google.com/open?id=1L_Zkxq1GFixTImYbNsZAIArC8eQReJeH, https://drive.google.com/open?id=1tnO9x_roo4Me-3S9I6NH2AqxZHnYAK6c, https://drive.google.com/open?id=1aVHdF4ExlmeCGJGSueRWv0wgag8NlF13</t>
  </si>
  <si>
    <t>Chị phượng</t>
  </si>
  <si>
    <t>0933185651</t>
  </si>
  <si>
    <t>Pgp + Cto + Ro 5640</t>
  </si>
  <si>
    <t>https://drive.google.com/open?id=1u1xJhwsjK7etnr5VTmLegn6Oz1JMo596, https://drive.google.com/open?id=1rLvnPOMPKyERrRl3DXPDzEctdaClkr-v, https://drive.google.com/open?id=185KX2oBcvy90fcG8WwxrNpyMONQmMB0-, https://drive.google.com/open?id=1CO3bC350rsqwMbSKTPyhRNUq836OlJO5, https://drive.google.com/open?id=13UeYohezgreVHnqzbg_wD0h6jI3mVFFC</t>
  </si>
  <si>
    <t>096 4334455</t>
  </si>
  <si>
    <t>https://drive.google.com/open?id=1KQ1N2Fz1a0JVP7CEvF0AbEtz1vmReAvE, https://drive.google.com/open?id=1DRk8uqr130ntD6AOFrZBi9z6gdpWVxFB, https://drive.google.com/open?id=1aJeQk9cV8uxcHeLk4_b3xGStfPJ5y7QC, https://drive.google.com/open?id=1U5fPeWxkmB1-tfo720hTGN0OGuFH0aTZ, https://drive.google.com/open?id=12K0YlbXSzK74Vd4KQoIV4PpeI0HRCh5R</t>
  </si>
  <si>
    <t>Nguyễn Xuân Tú</t>
  </si>
  <si>
    <t>0983827829</t>
  </si>
  <si>
    <t>Bình Phước</t>
  </si>
  <si>
    <t>https://drive.google.com/open?id=1_wPrNLp16hUWBO-M2HlVFk43ZL5kwYR7, https://drive.google.com/open?id=1ETe1jEZ-EsIYpgzixXnk52p3G6b7W7OH, https://drive.google.com/open?id=1TCJL_Kk2hRno_OpwY_vKXh2uJTrVdZeN, https://drive.google.com/open?id=11NLMN6oXlVtPEeuHcRnimcppmJnf3_fW</t>
  </si>
  <si>
    <t>Lắp thêm bơm áp và lọc thô 1,4tr</t>
  </si>
  <si>
    <t>Lắp 3626</t>
  </si>
  <si>
    <t>https://drive.google.com/open?id=1UYyth6hloJyvmyop94UjoE-DV9k_HLTP, https://drive.google.com/open?id=1SETaeN2Q8XJAscBCT6T6lVYK9VwCX1bi, https://drive.google.com/open?id=1bdeOlg-Icc6l_ZS6LT5lCA8YkpwNTId_, https://drive.google.com/open?id=1L21VvOsp-Ys4S0OR4vngI3wuUmOO_qGi, https://drive.google.com/open?id=16TRywdibwdtn4zfWDoimYtixW9mbYegB</t>
  </si>
  <si>
    <t>Tháo casa x, giao +lắp 3626, khách ck sale</t>
  </si>
  <si>
    <t>Trần Hùng Linh</t>
  </si>
  <si>
    <t>Chú quy</t>
  </si>
  <si>
    <t>0972324689</t>
  </si>
  <si>
    <t>Pgp+ cto 5640</t>
  </si>
  <si>
    <t>https://drive.google.com/open?id=1mdvYmrs2JyuUV6hwijypNL6UBvuCmN4Q, https://drive.google.com/open?id=11YK411khk0usLKvX2XfPWQMN3q3pZdsO, https://drive.google.com/open?id=1Pi9HUkUo1P-rvnqowO4NigBfOzTsaVTe, https://drive.google.com/open?id=161bCPAhlpc7vOXRgPt_XG0UYVqVHhTsb, https://drive.google.com/open?id=1KxuxaLqxztsjr9KZXIyiIGjZCCoLtrXm</t>
  </si>
  <si>
    <t>Carry Liu</t>
  </si>
  <si>
    <t>0918587702</t>
  </si>
  <si>
    <t>https://drive.google.com/open?id=15a1hjrMNnpd1YrXVszCpq__nGW4SToxB, https://drive.google.com/open?id=1K3zrtglXl-wiUd0HrYQXC2Uc5ZDhXuGS, https://drive.google.com/open?id=1WEqExwrs--ItzgbB--jANrrl292rS6G4, https://drive.google.com/open?id=1pFzbLcetaJhHpY-1r3qDpf4P4tMfluPU</t>
  </si>
  <si>
    <t>Anh Hạnh</t>
  </si>
  <si>
    <t>0983984368</t>
  </si>
  <si>
    <t>https://drive.google.com/open?id=163IIJznC1QToieye1nVwrnD5s4tu-vch, https://drive.google.com/open?id=1UJKWDdbXsh7gDpcHrg0CCiHuNI5BS9xA, https://drive.google.com/open?id=1QEXDLZ9d8L6WDro2st9cKZ4-6QZpRaWb, https://drive.google.com/open?id=1c1G2pXzzpIuE37KFxP-LT7EKey4Rv2hT</t>
  </si>
  <si>
    <t>0935262638</t>
  </si>
  <si>
    <t>https://drive.google.com/open?id=1GbjyOpgHK8TNgDbojhHf1ac_894-xGhq, https://drive.google.com/open?id=11dmx13FGWk0NNHwqsH70QGGuGhVZ3bgu, https://drive.google.com/open?id=13odSL-hzEJbsdB0KBSPz3BiAGM3QmEDi, https://drive.google.com/open?id=12bhxT1UZxezVMJy495gah0tgcOLanRfa, https://drive.google.com/open?id=1UE2oaJpyj2R7ST8GCtOMHhQqQiYdk0c5</t>
  </si>
  <si>
    <t xml:space="preserve">Trần hùng linh Bán lọc </t>
  </si>
  <si>
    <t>Chị hy</t>
  </si>
  <si>
    <t>0908155538</t>
  </si>
  <si>
    <t>Pgp va cto truliva</t>
  </si>
  <si>
    <t>https://drive.google.com/open?id=1LA5H-WZg9DwEv2m03AhiZcdHGJYbEFa3, https://drive.google.com/open?id=1gOMbZZXS9OTbD9mAM_TOVsEUx9kA5Orm, https://drive.google.com/open?id=14hrCwg76LDxWOLYjvVhwgEmk_NyI2Lty, https://drive.google.com/open?id=1YRfr9gAMAQYJ3Qknes8yYc18hDa6JzKX, https://drive.google.com/open?id=1R3DTCFgARKAyWq0Uv58QSG2Sl3TL4CBZ</t>
  </si>
  <si>
    <t>Thay pgp va cto truliva</t>
  </si>
  <si>
    <t>C ngân</t>
  </si>
  <si>
    <t>093 2433708</t>
  </si>
  <si>
    <t>https://drive.google.com/open?id=1IAE3ZZzVgwGI3QaKL7S93VC4T5zxFRtT, https://drive.google.com/open?id=1TnrNLPo00WnEjva_J83F-qrER4rn1k8R, https://drive.google.com/open?id=16UTsf6gYsNdjdwZG62taEStGcxRocM5G, https://drive.google.com/open?id=1zM15lrbCKs1dSGoFbGn5l8LBneHme49M</t>
  </si>
  <si>
    <t xml:space="preserve">Chị lý </t>
  </si>
  <si>
    <t>0935358595</t>
  </si>
  <si>
    <t>Delica ur 5440  lõi PGP, CTO</t>
  </si>
  <si>
    <t>https://drive.google.com/open?id=1VcKEElTLTqldc1H_WQw0bgNjEAR8zFUK, https://drive.google.com/open?id=1q5CAEU23ZyJiGTilgFeB9P0yIhuQZfS8, https://drive.google.com/open?id=1XUhV6JPxAvMOkQE2mpSHQkGiIjeDd-g8, https://drive.google.com/open?id=1mi-5ng3-Xyi-JbeFecl2iGy3MuxzZAss, https://drive.google.com/open?id=1U7ITdsUaR-nsS3TzsfmNDz_oUQxnQ1ab</t>
  </si>
  <si>
    <t>Giao lõi PGP+CTO+RO</t>
  </si>
  <si>
    <t>0915187896</t>
  </si>
  <si>
    <t>Delica ur 5840 lõi pgp CTO RO</t>
  </si>
  <si>
    <t>https://drive.google.com/open?id=1OAyFOMRsXQv0uqioiDguQVrKazBPDizS, https://drive.google.com/open?id=1U1VRIqRbBSCebbq_Gwl79lewGjWlEeTO, https://drive.google.com/open?id=1IADyRYl80Oq1QjP7PbL2MQIAaM9HoLjJ</t>
  </si>
  <si>
    <t>Giao PGP CTO RO</t>
  </si>
  <si>
    <t xml:space="preserve">xxxxx </t>
  </si>
  <si>
    <t>A Long</t>
  </si>
  <si>
    <t>0931044228</t>
  </si>
  <si>
    <t>https://drive.google.com/open?id=1B7dZmgROAzpSrrIFi6Y3jQtHyx5BC8uP, https://drive.google.com/open?id=1Htgw5sTgNYmj6F4NUlKo1QVGHjbi4J_h, https://drive.google.com/open?id=1j9BRUpjWsh2rtEFaIorf_07Y_yj8Grro, https://drive.google.com/open?id=1KMQLit7-F7lKC2N097M_D4rJh4VN91A0, https://drive.google.com/open?id=1Iu_imCJEvV66SmLP5iXSUBK6XdEJqqRg</t>
  </si>
  <si>
    <t>Khách hàng đưa tiền mặt</t>
  </si>
  <si>
    <t>Hoà ninh bình</t>
  </si>
  <si>
    <t>Pcb + Ro</t>
  </si>
  <si>
    <t>https://drive.google.com/open?id=1bGaJRlXuUuEBad7svO_8_0rFmqLu0M0j, https://drive.google.com/open?id=1pVx0RxSPLpZAEAhFBFSZC37zZ0BlwqaE</t>
  </si>
  <si>
    <t>Trả phí gửi xe 40k</t>
  </si>
  <si>
    <t>Ng quang vũ</t>
  </si>
  <si>
    <t>0888225899</t>
  </si>
  <si>
    <t>https://drive.google.com/open?id=1Q6fVKNuojm31z5nvdrRT_dZUh6D-1Wx_, https://drive.google.com/open?id=11D01Q9e3VoxqjKxJnFqTbL7JQ3j4JW0p</t>
  </si>
  <si>
    <t>Đã giao vietpost thu tiền</t>
  </si>
  <si>
    <t>Chị nguyệt</t>
  </si>
  <si>
    <t>096 5530782</t>
  </si>
  <si>
    <t>https://drive.google.com/open?id=1a7m9WJZFlGbuS5-lG015-JsmQAB1XkZL, https://drive.google.com/open?id=1VT-0DAjSBVZBL2GOxwsyxp40u_zMv_ju</t>
  </si>
  <si>
    <t xml:space="preserve">Huy D8 </t>
  </si>
  <si>
    <t>0983382476</t>
  </si>
  <si>
    <t>https://drive.google.com/open?id=1W-JKgYYefVAoa3uCsuuwMK3ek-6IUnBc, https://drive.google.com/open?id=1v_qNYb8hqOZBaasK3xlnSiiBsIHwreWL</t>
  </si>
  <si>
    <t>Anh phương</t>
  </si>
  <si>
    <t>0904606683</t>
  </si>
  <si>
    <t>https://drive.google.com/open?id=1_-XLpcFy4ecfhCimAOYVU9_gVHguU6d2, https://drive.google.com/open?id=17MWI_5Bo84jrfcdjTSZrd_5aDkeo0p65, https://drive.google.com/open?id=1VlwRXjmXUfizLsKHAkFc05786i6I9U4C</t>
  </si>
  <si>
    <t>0914388585</t>
  </si>
  <si>
    <t xml:space="preserve">Delica ur 5440 </t>
  </si>
  <si>
    <t>https://drive.google.com/open?id=1VeeQdeNI7C_C3Fmgc5imupo6H3aFMibm, https://drive.google.com/open?id=1uyoWR3Wq-TxU-23wd4NfMU57GfmFqyB3, https://drive.google.com/open?id=13hzmm8VbTWiyIdLIR76ic5VyjTHmzSPn, https://drive.google.com/open?id=1ENzFaZAAw3roxrihy99SMSCHXMF1_zbv, https://drive.google.com/open?id=1CyviPtiL-wMfBZwkU2CT7AyAtWhxcw11</t>
  </si>
  <si>
    <t>0902249423</t>
  </si>
  <si>
    <t>https://drive.google.com/open?id=15Ln38-0Eu4kwMjgRe71vjbVVYAtvrGHb, https://drive.google.com/open?id=1Vwctc-6gKAVLSpkSTbJxc_4cxXXnSRDs, https://drive.google.com/open?id=1O00GeFhqD4BRfhJGMEKFuf7kU0ODfuxo, https://drive.google.com/open?id=1gvydqo2pS4NtjyrwlDW2l-iCjeGyCKBI, https://drive.google.com/open?id=186Cw47NuS80uCSNMEei_DwZeKpYCpZPj</t>
  </si>
  <si>
    <t>https://drive.google.com/open?id=1tmXzP_s1aqqlHySuyP8yfn33t9w_c5mw, https://drive.google.com/open?id=1dJymNaSl0L-JQ7OCAC6XsPu13Kix6-xC, https://drive.google.com/open?id=1VZDBZQ-WeG7Qkvfn0ZM12x6pEClTDvbC, https://drive.google.com/open?id=1nT8Vn7KEFpOqE1lOXn2K7gIpCjRYFwer, https://drive.google.com/open?id=1I8zO9CzosFf0Gx6Uar-3q_rHtoZxsAlF</t>
  </si>
  <si>
    <t>0762774737</t>
  </si>
  <si>
    <t>https://drive.google.com/open?id=1u7tTwYy_puRojLLnM-AfP2zYtC1KEfym, https://drive.google.com/open?id=1MOyVH8oduTLev0J72aLnZsaIAMa0AY7v, https://drive.google.com/open?id=1lz3_Qoqq9FzfV9r6XRfQA6Dk7KHi6LZr, https://drive.google.com/open?id=10-ayUFHjqFEQg0kcOm46wZh_dYKXl43k, https://drive.google.com/open?id=1qTb0y_lUz0-tGZ9k9Dz6a7-SeOb5Qzu_</t>
  </si>
  <si>
    <t>Phan xuân nguyên</t>
  </si>
  <si>
    <t>0979468517</t>
  </si>
  <si>
    <t>https://drive.google.com/open?id=11V5V5rYKE2GXK54Y-CUJw2skA8_2Jur3, https://drive.google.com/open?id=1xdH6P3jDZSldizLbYHu2LiqT3HNr_q5G, https://drive.google.com/open?id=1Bho8ofU0xZAEE1HYC4HfFV3jbRrpjoUu, https://drive.google.com/open?id=1MzqM5I0bF7DAv8-i6uw2rHtDNq6VBcvH, https://drive.google.com/open?id=1OnzPTJrxwN5h6_s-dLL16tesHZln1yWJ</t>
  </si>
  <si>
    <t xml:space="preserve">Anh Hiền </t>
  </si>
  <si>
    <t>0934246951</t>
  </si>
  <si>
    <t>PGP và CTO 5840</t>
  </si>
  <si>
    <t>https://drive.google.com/open?id=1bChJB9hT0QnhfOMVSR_aGT1-lDPmKDf-, https://drive.google.com/open?id=15m9BpTsDHfZgZ5XsCEfyXJlTUOQtQK78, https://drive.google.com/open?id=196HAtf8eKgKdmRjRQ4N0zB22nK7gNCe6, https://drive.google.com/open?id=14HlF3bGZvLO3KVRavdUYkNcRAz52weTi, https://drive.google.com/open?id=1kskg4JYFoK6_7m3FmSQOSwI_36pue1Sr</t>
  </si>
  <si>
    <t xml:space="preserve">Đã hoàn thành ca thay lõi lọc </t>
  </si>
  <si>
    <t xml:space="preserve">A Binh </t>
  </si>
  <si>
    <t>0944994999</t>
  </si>
  <si>
    <t>https://drive.google.com/open?id=1nEoI_beD-F9FPvxbekokuKv5t9pE5paZ, https://drive.google.com/open?id=12v0GLvj2-5xyAja3l2IFQCgVZfTVzGpQ, https://drive.google.com/open?id=14cCEUWhIaB_Jfu59C9pSntG8htjP74Da, https://drive.google.com/open?id=1WrAuY7WIYj4OJ7dt0Kag7EibqWjA2zX0, https://drive.google.com/open?id=194JQhSbqRMQYMGjA42V9-7uIRrlw2Td-</t>
  </si>
  <si>
    <t>Thay pgp va cto 58 puriet</t>
  </si>
  <si>
    <t>Chị phụng</t>
  </si>
  <si>
    <t>0961972894</t>
  </si>
  <si>
    <t>https://drive.google.com/open?id=1dgcDd85F1Vnjn-l3X2Lwx9S85ePqDe53, https://drive.google.com/open?id=1OgMNnVtAGsY6mYEV_tsex0ROqVl5OBFP, https://drive.google.com/open?id=1o9_TLzdO8508FDswIC0ftKR6pSmBGxY9, https://drive.google.com/open?id=1vUW3L57B4zCpqBZHJ1_GakDuDM6PbIfb, https://drive.google.com/open?id=1z0iB3OvhRTd_FzwPZtY4Ni2EGFxehckl</t>
  </si>
  <si>
    <t>Lắp đặt lại máy và thay lõi</t>
  </si>
  <si>
    <t>Anh Khánh</t>
  </si>
  <si>
    <t>0901591985</t>
  </si>
  <si>
    <t>https://drive.google.com/open?id=1MGZTDDDs9IhIvkxZh6yVN130KDFHrPM6, https://drive.google.com/open?id=12vjruT6kO7SSRfVuuXQjslhNSqo4qYra, https://drive.google.com/open?id=1ydueieWXOVNyhpXbySXvcNKJrLE8oKnO, https://drive.google.com/open?id=1DBORvf24VGe79Q8qS0XMCRBhSz1FFEjf, https://drive.google.com/open?id=1n2Sdy5i6eDoMJmP0bnMej_10eg0DUVfw</t>
  </si>
  <si>
    <t>Chuyen khoan</t>
  </si>
  <si>
    <t>Anh Nghị</t>
  </si>
  <si>
    <t>094 2839757</t>
  </si>
  <si>
    <t>https://drive.google.com/open?id=1y-oiFjGhD5zFhLmVWT-75w5CgF5U92e3, https://drive.google.com/open?id=1vEWghpDJJI4HDpu2xzDkZjEbfGiPR6NT, https://drive.google.com/open?id=14MZvvuQL2iDu1PRQgRbGs2ao0w2CAXaj, https://drive.google.com/open?id=1V5Hb6AG40NGfmSjf6dvjsV17PP_HwRlp</t>
  </si>
  <si>
    <t>Khách hàng đã chuyển khoản</t>
  </si>
  <si>
    <t>https://drive.google.com/open?id=1JHD9I2u5T3BCAL5FCJldhKBXxGY4kUAk, https://drive.google.com/open?id=1ODSg7BsM-uN6TYYYyPfoCSjdFeMxcs10, https://drive.google.com/open?id=1WkA53VbSXp0DIs-ei1K1ZAHAycWw8rD4, https://drive.google.com/open?id=1851O23OYQjIwy771kRnuQLYhDDSoECWC</t>
  </si>
  <si>
    <t>Giao nhà xe hữu khánh</t>
  </si>
  <si>
    <t xml:space="preserve">A thủy </t>
  </si>
  <si>
    <t>0343723789</t>
  </si>
  <si>
    <t>https://drive.google.com/open?id=1jpdRxAgY2KtijysRVC8vlZ__rYbhKMeL, https://drive.google.com/open?id=18Nymd2LD_eKT2_En6O8Q9WAlVxISVrKE, https://drive.google.com/open?id=1TTCaTChyxlY_8_50bHF3aMnebz3v7raY, https://drive.google.com/open?id=101MhCnJ_BRxubedoIEAFQlrqGwRodeOs, https://drive.google.com/open?id=1CasxJddImfefaH4g78zUOw9rUfNYdkfJ</t>
  </si>
  <si>
    <t>https://drive.google.com/open?id=1oe8F3u43Qw7Va-oVejNlZj2Zt8W-gafN, https://drive.google.com/open?id=1RI5Mu6tNCwMZM__HyujUTKXZ8SZFDvOV, https://drive.google.com/open?id=1t9tU-XCEIX4_fnpXQjlgMdbjKEE-_erG, https://drive.google.com/open?id=1aXvZKeymGyM4hegv_ArZNKvDg-AEZIo3, https://drive.google.com/open?id=1_IFnWCdURupfXeh63Dgl7ZqMB2Rhz3px</t>
  </si>
  <si>
    <t>Chuyen khoan roi</t>
  </si>
  <si>
    <t>0968975786</t>
  </si>
  <si>
    <t>Delica UR5840</t>
  </si>
  <si>
    <t>https://drive.google.com/open?id=1kHnzgMWJ46tUKBbloOJS_Xey_WtWwEDZ, https://drive.google.com/open?id=10nLoW6Irt-C1lRILItpYqWIQghrMaigh, https://drive.google.com/open?id=199afXXB0olf6nbwPolCFLnCH9R1ssNGY, https://drive.google.com/open?id=1p3c5Px8Wg3QAh4cxXcKaNISFpzP6f98Z, https://drive.google.com/open?id=1u9Rhmm_U-peSNA0FzDu8HZ26MxCo5a_8</t>
  </si>
  <si>
    <t>chị Hồng</t>
  </si>
  <si>
    <t>PGP CTO RO 5440</t>
  </si>
  <si>
    <t>https://drive.google.com/open?id=1bH8y4qb33EIAsHmxztAmF5ED3iWBacRQ, https://drive.google.com/open?id=1Vu2_RV2d7v-5RqvodzcPkC9HQJVPZv-V, https://drive.google.com/open?id=1GtpgqGVfgr1tnOn8xJCLFCWs3YH9uW1Q, https://drive.google.com/open?id=1uhNDoF1XcMGpEaplotRSMIH80ZyJ9Cut, https://drive.google.com/open?id=1pK_oCpXmwX94b3AC3vcC591EdUJxpKQf</t>
  </si>
  <si>
    <t>đã thay lọc</t>
  </si>
  <si>
    <t>Hoàng hồng quân</t>
  </si>
  <si>
    <t>0868605347</t>
  </si>
  <si>
    <t>https://drive.google.com/open?id=14qyLzj2BuM0hP5fsaapP2l9rU3iBL4Wu, https://drive.google.com/open?id=1btnhzTMSzp5znNDXdwoYRdaNpEtV1q5I</t>
  </si>
  <si>
    <t>Đã giao vietpost vận chuyển</t>
  </si>
  <si>
    <t>Ktv khánh</t>
  </si>
  <si>
    <t>https://drive.google.com/open?id=1t3echv7-mj5Kkl-SJgrB0RWu4DUXpA2X</t>
  </si>
  <si>
    <t>Đã giao khánh trả tiền sip</t>
  </si>
  <si>
    <t>0972858839</t>
  </si>
  <si>
    <t>https://drive.google.com/open?id=1GRrP8z_-kVFKHp3rhgNNQ6G5JwDG_Rvf, https://drive.google.com/open?id=1Kv4cZD-kfeWqAz0pSn3NJm44wzuQe5pm</t>
  </si>
  <si>
    <t>Cô mai</t>
  </si>
  <si>
    <t>0965530782</t>
  </si>
  <si>
    <t>https://drive.google.com/open?id=1rjrB0r8g13TafCI34uiqOWsNQAqRnglj, https://drive.google.com/open?id=1wK_3z_-4B-U7dUuYY_veNY-Kf5M7IzGy</t>
  </si>
  <si>
    <t>https://drive.google.com/open?id=1yx1TVTuvN7Lg1-RrygCvCVWCfQJSbO-2, https://drive.google.com/open?id=1IBUSE3uNYT78ZC1ISpVGQPBQRpYHAZXY, https://drive.google.com/open?id=1q95j1BG-QIHmKDVaLX19Nq4y63vb2x7g, https://drive.google.com/open?id=1uzcnOW3oZzqKwAZEye3eYTc4hgnCv0aI, https://drive.google.com/open?id=1xGmhEj5BCsxj-KjXG6cUrV8k4--jdVzr</t>
  </si>
  <si>
    <t>Thay lõi RO</t>
  </si>
  <si>
    <t>Chú kim chữ</t>
  </si>
  <si>
    <t>0932021998</t>
  </si>
  <si>
    <t>https://drive.google.com/open?id=1yxmyFQC-c1qU9gEeHsg6cFrG4SB3eb_R</t>
  </si>
  <si>
    <t>Gửi chành xe hoa mai</t>
  </si>
  <si>
    <t>Minh loan</t>
  </si>
  <si>
    <t>093 8822886</t>
  </si>
  <si>
    <t>https://drive.google.com/open?id=1fbK_lX8pV20aj06JMZ4XqCswUjPsWTYh, https://drive.google.com/open?id=1PwYUvWIO94NkNiAtKTsM55insG9yEMNk, https://drive.google.com/open?id=18SqQPmgITnL471Wi6PKYictexhePKUNk</t>
  </si>
  <si>
    <t>Chi thoa</t>
  </si>
  <si>
    <t>0338896799</t>
  </si>
  <si>
    <t>Pgp cto ro 5440</t>
  </si>
  <si>
    <t>https://drive.google.com/open?id=1uI-eF4hcwyEgSReBJSUGTP1O_8U_nQr5, https://drive.google.com/open?id=1e4aJl0ygIbbu99LhTtwEStgOAFBGvpkk, https://drive.google.com/open?id=1toTSs6nJqOb3c9CHLXBoea69iYborXG1, https://drive.google.com/open?id=159EtkLyXs4pcJwxjiUx0bwJbAsiqy72x, https://drive.google.com/open?id=1YDXIer43_oSJIeoIeADIW0E2XNfRcOY5</t>
  </si>
  <si>
    <t>Khach đa ck sale</t>
  </si>
  <si>
    <t>Nguyên Thảo</t>
  </si>
  <si>
    <t>0939793388</t>
  </si>
  <si>
    <t>https://drive.google.com/open?id=1rkSoUkQL4iGkp1SVgugwITzibs3h0iDr, https://drive.google.com/open?id=1uVf4Ml5O59WhbZuAoPldtLC-951_91uH, https://drive.google.com/open?id=1vZxXwUY3_zg7HKTTVvzq25pQMkkHJ-WJ, https://drive.google.com/open?id=1gGP0nf5XHkH8GcoAgrazZQ7dJZaYLbmM</t>
  </si>
  <si>
    <t>Tổng chi phí ca này 400k (công + khoảng cách)</t>
  </si>
  <si>
    <t>Anh Hồng</t>
  </si>
  <si>
    <t>0913922518</t>
  </si>
  <si>
    <t>https://drive.google.com/open?id=1DKR5ZvAcOjq5VYFvYwzV0hub3QI4FNvp, https://drive.google.com/open?id=1K7xA5LLfM0htVJejHjh-rDEMWgSyQ_H-, https://drive.google.com/open?id=1FhBAjpwS81vrz98T8-YtWreiWavR-aCe, https://drive.google.com/open?id=1lZXwE6d6b-35hnVFq56nrjGf0Q5SQR86, https://drive.google.com/open?id=1z0VMv-QJPEkiahi57cON2EWHjEUh-Jjc</t>
  </si>
  <si>
    <t>Pgp+cto 5440</t>
  </si>
  <si>
    <t>Thu Hồng</t>
  </si>
  <si>
    <t>0922270177</t>
  </si>
  <si>
    <t>https://drive.google.com/open?id=1VMjwOLzLmj1TsQoQIJ9UB4-ISFTZEz4R, https://drive.google.com/open?id=1kYAADor_LdDG71mCrE2qHhl4QGMDZQWG, https://drive.google.com/open?id=17_of5Cc7BIrRSk_6DIQoSRa8K0L91m0s, https://drive.google.com/open?id=17idn_f75TqpsG24p542JSgCs8RRBQHzp, https://drive.google.com/open?id=12K8z9tiyVl2RxMn6WOJiiIVhuHX9GzQb</t>
  </si>
  <si>
    <t>Chú chữ Chở máy Giao lắp</t>
  </si>
  <si>
    <t>Chi chi</t>
  </si>
  <si>
    <t>0913828292</t>
  </si>
  <si>
    <t>https://drive.google.com/open?id=154v3uUpNffuAfK156MEet86lKcTKWvWS, https://drive.google.com/open?id=1wnwA9fM2Bg_St8KsJIoo7_Lg9XDnO2T7, https://drive.google.com/open?id=1rkfag1UtuKBIjwD6LDG9JwA5UO_Z4qJ2, https://drive.google.com/open?id=1HpE5lW8VWrJ7yfIbyIcWAS7ojJK4mPLv, https://drive.google.com/open?id=1geveoYXszXVZ4kIb_HeoMGe5RD2u0Jas</t>
  </si>
  <si>
    <t>A đồng</t>
  </si>
  <si>
    <t>0971999899</t>
  </si>
  <si>
    <t>https://drive.google.com/open?id=1_4NcpTCz7bSuWs7XA0elg9ioNMO2jWjw, https://drive.google.com/open?id=1TIQ0wyBabYM2COOqaOVVr0a_W5fdRiFc</t>
  </si>
  <si>
    <t>Chị Lam</t>
  </si>
  <si>
    <t>0909832431</t>
  </si>
  <si>
    <t>Lõi lọc 5540</t>
  </si>
  <si>
    <t>https://drive.google.com/open?id=1-big5BGAxmRRa2u2gBPSAHKG62mnSQ98, https://drive.google.com/open?id=1XKU-2F9PmEgrCBuv1YdcyRFnHB6QdKRP, https://drive.google.com/open?id=1IqrI_m8ZO1s3ifRNDBSzAnMPDW8eh8yJ, https://drive.google.com/open?id=1Z_aOA775Ar5cVxPP512dMNtGoAU9s0-d, https://drive.google.com/open?id=1VlbQO0NL3dET5kwCV3eAU-YQBcX_zNVf</t>
  </si>
  <si>
    <t>Nguyễn kim</t>
  </si>
  <si>
    <t>0799445181</t>
  </si>
  <si>
    <t>https://drive.google.com/open?id=15zPf4AFBgbQvxsVh4qcxvqnNFhjeHsGL, https://drive.google.com/open?id=1AfTcefBBOlN6SMv_fFWBUZNaxyIb5gsZ</t>
  </si>
  <si>
    <t>Giao cho nguyễn kim</t>
  </si>
  <si>
    <t>Hoài Viễn</t>
  </si>
  <si>
    <t>0987683397</t>
  </si>
  <si>
    <t>https://drive.google.com/open?id=1IbJyptuJtVLb4UY1A9jV2eYWyKa-ZDdE, https://drive.google.com/open?id=1qgqbQleRjlevkh-nQuLsZn-0r2YDn6kM</t>
  </si>
  <si>
    <t>Cô trang</t>
  </si>
  <si>
    <t>0903948594</t>
  </si>
  <si>
    <t>https://drive.google.com/open?id=1UmaAqGbQBe2U6rj_42tXLVtVSpI5HWYo, https://drive.google.com/open?id=1fBF-g4D9cNtbB7aTmpGep-dSP6CEhYXA, https://drive.google.com/open?id=1TFWdXo8_lJD4Q0at1Yt1lw1EIx9CQVa-, https://drive.google.com/open?id=138_9-UOSSZM0Lx5VVkZPEJK6EXyHOL8V</t>
  </si>
  <si>
    <t>Nguyễn Thị Diễm</t>
  </si>
  <si>
    <t>0983535406</t>
  </si>
  <si>
    <t>https://drive.google.com/open?id=1r7wvS2b32LJldqp--ZrHED5FCBBJIBa4, https://drive.google.com/open?id=1uhf5CpLBHyz_vdwBVSb4_yR_Qo4SVFog, https://drive.google.com/open?id=1J2945LDCNTon7h0f9sOi0DoExdUwnd33, https://drive.google.com/open?id=1orpN8tYfXlDk8BLR9vVYsvdPp7eicuDL, https://drive.google.com/open?id=16-xpAkDhDooR1QwtQmAxMbel4PMET6tj</t>
  </si>
  <si>
    <t>Chị hồng</t>
  </si>
  <si>
    <t>Máy lọc nước UR 5840</t>
  </si>
  <si>
    <t>https://drive.google.com/open?id=1tiXB39NInxLdACwMv-JKW4V3aPkRIx7m, https://drive.google.com/open?id=1JiYftIVsTX95aSc_8Let3kJ7SWlYofHK, https://drive.google.com/open?id=1JK8YSDb-hZPP-T4nx4AnaagvsDQxyp6g</t>
  </si>
  <si>
    <t>Máy khách có sẵn</t>
  </si>
  <si>
    <t>UR6109H</t>
  </si>
  <si>
    <t>https://drive.google.com/open?id=1ddzxSJyJW1D2q3gM_JOu7pmN8qKk5ucc, https://drive.google.com/open?id=16l2lEFaJF2UAYxM2k8uoqqITMc7sRFHi, https://drive.google.com/open?id=1dPYzVdQCBJxQOJMI3HutjDMLcQPQMcdI</t>
  </si>
  <si>
    <t>Máy khách có sẵn, đến nhà khách 110km</t>
  </si>
  <si>
    <t>Giao hàng nhanh</t>
  </si>
  <si>
    <t>Máy nóng - máy lọc không khí</t>
  </si>
  <si>
    <t>https://drive.google.com/open?id=1qBfDTTieZME5FGTk4AtejMmbJ_6i1Qul</t>
  </si>
  <si>
    <t>Chị Lan Phương</t>
  </si>
  <si>
    <t>0931327436</t>
  </si>
  <si>
    <t>Lõi lọc 54</t>
  </si>
  <si>
    <t>https://drive.google.com/open?id=1gEWbU7SaRV-9HssqnWeKIZSnqFVJrtXx, https://drive.google.com/open?id=14RKEzFoUBSs4sjfbNfkPBkJy4J5BO6N3, https://drive.google.com/open?id=1w9tu3HGcCA1F2BWDqdWIyJAhePwjl2S_, https://drive.google.com/open?id=1RNajHpMAaFMtCCUJypliscP48ZLiuTa2</t>
  </si>
  <si>
    <t>Chị Mỹ Quyên</t>
  </si>
  <si>
    <t>0947639775</t>
  </si>
  <si>
    <t>https://drive.google.com/open?id=1MlQpiDnSDrOLIQe22Tcct440HAGrOZF0, https://drive.google.com/open?id=1_FR0bXYGzEaoI6EWrkp3iVgBJX8UnZJQ, https://drive.google.com/open?id=1MGydhlwZqsqzgYUjHvzirV6JjHAJ-bCg, https://drive.google.com/open?id=1n8XyQJpn9VfnwvqRjpVyJxMYjnmXuxd5</t>
  </si>
  <si>
    <t>Thu tiền mặt</t>
  </si>
  <si>
    <t>Nguyễn Đức Minh Nguyên</t>
  </si>
  <si>
    <t>Chị Diễm</t>
  </si>
  <si>
    <t>0985896273</t>
  </si>
  <si>
    <t>https://drive.google.com/open?id=1KPYl5XiTgCPcBaRdrI8382xzv30doyLz, https://drive.google.com/open?id=1AZ2JHQ0Gcs-Z6Z1ZeKFkIfUNRsdG3tDc, https://drive.google.com/open?id=173aI7ktzhYdY7yIkmSIiTEIEplwCUNIF, https://drive.google.com/open?id=1IWhFu-npJwwnumk2WZS_XXU8IqwcGUpH, https://drive.google.com/open?id=1FLWQtaINl4Xiz-1Ix0yoMWu9n9GSqMOW</t>
  </si>
  <si>
    <t>Kh ck</t>
  </si>
  <si>
    <t>Anh Dũng</t>
  </si>
  <si>
    <t>0986666804</t>
  </si>
  <si>
    <t>https://drive.google.com/open?id=1J9AxmngXDoi_M-no0MzMri9vroxElCju, https://drive.google.com/open?id=1jMl9tOl7VMDDHthcWGUtR2P-BmF1MQU2, https://drive.google.com/open?id=1CFLwtY-x6xYvrzBjtsC3UZKRUTWL09dC, https://drive.google.com/open?id=1prPfEZXnzxHSENdMPKDi4GXv3Qd2nrfG, https://drive.google.com/open?id=1-Tva7WsihJKeEYZmGwLGPCIuz9LgQVNG</t>
  </si>
  <si>
    <t>Anh dương</t>
  </si>
  <si>
    <t>0936453559</t>
  </si>
  <si>
    <t>https://drive.google.com/open?id=1wMFFVJuvEWGkrz1jIHXVkrfP4vnUNQrV, https://drive.google.com/open?id=1EY4uMWgb1uBWiCr-wX9VAh4WIlm6925M, https://drive.google.com/open?id=10mzrECVnO2cqn2PfUyjlSCaM2M6DaLsS, https://drive.google.com/open?id=171hZe0bFwXto7o5xSN2ZTdGtnIQzlHup, https://drive.google.com/open?id=1stZOm2Z-8l0dV9weYGOKF2Oi8BI5Xp45</t>
  </si>
  <si>
    <t>Anh Kim</t>
  </si>
  <si>
    <t>0906281460</t>
  </si>
  <si>
    <t>https://drive.google.com/open?id=1ObOEy7EEvlruIqanblCVtgCifWxSXnWa, https://drive.google.com/open?id=1oNLwAK4uUuzYBvIztRD5w4sBAHc0sAcd, https://drive.google.com/open?id=1786F5a1gdnYkA3sJ6yNqpRjzYKdzfiwA</t>
  </si>
  <si>
    <t>Khách đưa tiền mặt</t>
  </si>
  <si>
    <t>Chị Ba</t>
  </si>
  <si>
    <t>0972387396</t>
  </si>
  <si>
    <t>UR69016</t>
  </si>
  <si>
    <t>https://drive.google.com/open?id=19IncSjQiMqpfDOtlcTWDKwx68x0qyW_2, https://drive.google.com/open?id=1rTDvi9xD3WbkDPXe4Z_isdJ381l27Spj, https://drive.google.com/open?id=1z9kpUZkXI_NdTI514oHDfiatohlhENZQ, https://drive.google.com/open?id=1EKoIrygpRBLdKzFE4HjDRv-YejzYnsQ0, https://drive.google.com/open?id=1gONv3vnLsbwo7caAWaFxDJbsUHiqXKwS</t>
  </si>
  <si>
    <t>Anh Khoa</t>
  </si>
  <si>
    <t>0969508509</t>
  </si>
  <si>
    <t>https://drive.google.com/open?id=1eWQeLOJoS6F1eNdZ4NQLNGQM8ahC_93G, https://drive.google.com/open?id=1k3F5AMiX-4jv2JCuGTFo_7ZTqJHdJlpu, https://drive.google.com/open?id=1X-u1VMz3LEYIKcSlf36Y-79_YmmPj6LC, https://drive.google.com/open?id=1a3VKk9vJ_g3cujJzTMH4LALnWPs3Okzx, https://drive.google.com/open?id=1dt96B5EXjwm12zMP6y9QzDMAthxq589Z</t>
  </si>
  <si>
    <t>A hà</t>
  </si>
  <si>
    <t>0984787899</t>
  </si>
  <si>
    <t>Yên Bái</t>
  </si>
  <si>
    <t>https://drive.google.com/open?id=1f9SduZ5nUAxwuGK3pmy3TpRXF3EZaDc4, https://drive.google.com/open?id=1GENMo9b-YwrtEgAg7v18FIr10gay9H8F, https://drive.google.com/open?id=1RRNsXZ2h49uTe2vnHq434QL6Ulz55ytJ</t>
  </si>
  <si>
    <t>Đã trả cước  phí 140 k</t>
  </si>
  <si>
    <t>Mai văn hào</t>
  </si>
  <si>
    <t>0988950899</t>
  </si>
  <si>
    <t>https://drive.google.com/open?id=1yW5OffhsB2K6YeFJj0xjky3SmS6aH8Hn, https://drive.google.com/open?id=1NJSeOgcp_FO_Exq1qXFTrRhrABeER80U</t>
  </si>
  <si>
    <t>A dũng</t>
  </si>
  <si>
    <t>0866556088</t>
  </si>
  <si>
    <t>https://drive.google.com/open?id=1GPodn9xoIw_fCVEvLYPiJB9cTF-tICFv, https://drive.google.com/open?id=1EZ62IHAgKFr92zNYyvuRp_UmjV1Flj0X</t>
  </si>
  <si>
    <t>Trần giang linh</t>
  </si>
  <si>
    <t>0942202432</t>
  </si>
  <si>
    <t>https://drive.google.com/open?id=1Je-8B6JxYMC-j0s-fpmnKC8lKExslhhh, https://drive.google.com/open?id=1JWVVTcWQHuTRDWKNCozNhkwjE83LSrhI</t>
  </si>
  <si>
    <t>Đỗ Văn Toàn</t>
  </si>
  <si>
    <t>Chị Bích Trâm</t>
  </si>
  <si>
    <t>0827774407</t>
  </si>
  <si>
    <t>https://drive.google.com/open?id=1Vz4JPfjBsr8PYLWsVvCD6tKekg7FInA3, https://drive.google.com/open?id=1MfRbvD2z8ryI0_Npj7oJHAd267tHqwB-, https://drive.google.com/open?id=1GXg42SZfqv75Vx-OgFvIJY-_COS5L9qB</t>
  </si>
  <si>
    <t>Khoảng cách 30k + cước đi giao 30k + tiền lắp đặt 250k = 310k</t>
  </si>
  <si>
    <t>Truliva 61096 + 5840</t>
  </si>
  <si>
    <t>https://drive.google.com/open?id=1Zv4fT2eJoeoqkVgo5R6IqlKZn4pyt6yV, https://drive.google.com/open?id=1O_OZsjsnBIjURO6b_-Duns0o0Exc_3na, https://drive.google.com/open?id=1yhLY4WIR95c27GtSwNDCmlD5c4bn30p5</t>
  </si>
  <si>
    <t>Đã tt cước xe 450 k</t>
  </si>
  <si>
    <t>Tung lâm</t>
  </si>
  <si>
    <t>0336012747</t>
  </si>
  <si>
    <t>https://drive.google.com/open?id=14mW25NTDv0WccOC53k43PmQ2gnHn84hY, https://drive.google.com/open?id=1KDzt3l9rgQERSwtqOpx8iBkSpg07fpJ4, https://drive.google.com/open?id=1tJ8afNoi5nDi850I2_7TTzwH1igYdblp</t>
  </si>
  <si>
    <t>E hiếu</t>
  </si>
  <si>
    <t>0978366858</t>
  </si>
  <si>
    <t>https://drive.google.com/open?id=1NfB4MIMXAXH1MfAvGXsvtc474gV_3zdJ, https://drive.google.com/open?id=1E-a-Xof77H9Z5cZjPhI4N63f1sN0ohy-, https://drive.google.com/open?id=1ONOKVKEHQBZOQxvA-v_ZmSmLJfkhM3IJ, https://drive.google.com/open?id=1HRZXezDDoeWyJapR4ABGBxRn8EfHyD75, https://drive.google.com/open?id=1sGhL53u4k6e1zUIxsZ0wBI6A-jDqdpPi</t>
  </si>
  <si>
    <t>Anh nghĩa</t>
  </si>
  <si>
    <t>0938341785</t>
  </si>
  <si>
    <t>https://drive.google.com/open?id=1YbKpYoRujQ3LAIEaAihOmuRe8CRv3Zia, https://drive.google.com/open?id=1UozxAOEfFdGndH6hsKm8yyoHd7_guyRE, https://drive.google.com/open?id=1KAdTXaHVSWdBzfQEtOGvZF3SzRIwUP4z, https://drive.google.com/open?id=1daT-hjiyQqIU5vbXkkL-BhWWIiLzH8sb, https://drive.google.com/open?id=1e41DGuWx27H3O2LqFAQzplpUAvYMmOLj</t>
  </si>
  <si>
    <t>Giao lắp máy mới kh ck</t>
  </si>
  <si>
    <t>0974447504</t>
  </si>
  <si>
    <t>https://drive.google.com/open?id=15BfruNZih89lZyHhrjGhQAU5cCGiG2iC, https://drive.google.com/open?id=1uqQmqFSJ8KF0WgoqZ0Nhhebkp9hU0Kqc, https://drive.google.com/open?id=1-hMFfO-eVNua1WAvFSg3OLt3X-6pSbTP</t>
  </si>
  <si>
    <t>Bếp ăn có chữa sẵn đường nước lắp máy</t>
  </si>
  <si>
    <t>hoàng anh</t>
  </si>
  <si>
    <t>0765155612</t>
  </si>
  <si>
    <r>
      <rPr/>
      <t xml:space="preserve">https://drive.google.com/open?id=1AmPSLVw3hfFKXVoSf65Q7iGgaPIRKq42, https://drive.google.com/open?id=1KacHLkUISVDpJnBDCYjGXYBqYOX2Q8Nf, https://drive.google.com/open?id=1ykoXVBI2mDu-ZSHA_80dLbMRSmfO5GOD, https://drive.google.com/open?id=1Xvf6DhwBmKHDHF1UkdqCuogM8zZcAnQ7, </t>
    </r>
    <r>
      <rPr>
        <color rgb="FF1155CC"/>
        <u/>
      </rPr>
      <t>https://drive.google.com/open?id=10UMLzUChnfWfkDNsKAK0jNo1nBr3QQou</t>
    </r>
  </si>
  <si>
    <t>Chị Uyên</t>
  </si>
  <si>
    <t>096 4480072</t>
  </si>
  <si>
    <t>Lõi lọc 5840</t>
  </si>
  <si>
    <t>https://drive.google.com/open?id=1PXfY501cz-8-2qFzcGiEz9ofYzbFensm, https://drive.google.com/open?id=19BIOfYqxSkkrRUaUWJSfDZbZh2nXS8Vh, https://drive.google.com/open?id=1WATYevQAhAHQUWw9vEIFOp6Wgi3MqwEq, https://drive.google.com/open?id=1XfgQLMHjQ34K_NKv7WGDdgcI4u4bnbbA</t>
  </si>
  <si>
    <t xml:space="preserve">Khách đã chuyển khoản - Khách yêu cầu xuất hoá đơn công ty </t>
  </si>
  <si>
    <t>0394500141</t>
  </si>
  <si>
    <t>https://drive.google.com/open?id=1UzJxd3fQey4gC9Zj9wTlKWSS5rerBQHi, https://drive.google.com/open?id=1Klo7twgKTVPRyCrEi86lpVYHg654L7Ev</t>
  </si>
  <si>
    <t>Giao hàng chành xe duy tân</t>
  </si>
  <si>
    <t>Anh vũ</t>
  </si>
  <si>
    <t>0913767675</t>
  </si>
  <si>
    <t>Combo lõi 5440</t>
  </si>
  <si>
    <t>https://drive.google.com/open?id=1LP0iZtOL5EChfrC3QplklVKw71FHClmo, https://drive.google.com/open?id=1Jyz5GhbMUSfLfe1eJLZNY0lcsXyfyLpi</t>
  </si>
  <si>
    <t xml:space="preserve">Khách hàng đã thanh toán </t>
  </si>
  <si>
    <t>0834938881</t>
  </si>
  <si>
    <t>https://drive.google.com/open?id=11MnpMmAiYVlezVO3yhhRouspemmNhYf1, https://drive.google.com/open?id=1s_xAY1IaAtFv5ck8PXleO7x7Cm9sDg4A, https://drive.google.com/open?id=1pTx6z-w19FAKXP0lAYre8yc-BIMJ7nZd, https://drive.google.com/open?id=1_bspEUS21WoOYsPHan5nThgCEdPKjr5f, https://drive.google.com/open?id=1HEoH7zYDpinmuizwaJyiVI-8-Zc3-74z</t>
  </si>
  <si>
    <t>Cô Mai Anh</t>
  </si>
  <si>
    <t>0913219168</t>
  </si>
  <si>
    <t>https://drive.google.com/open?id=1fGjfDOzFOlCDdO8gx0su84DrqRkFXBbc, https://drive.google.com/open?id=1O-XP3HEmpv4vJykZd60qYYp-Lg7Hz9Yq, https://drive.google.com/open?id=1vqPVUYArB8KNrH46mXgMDyjhyMfJ5bm6, https://drive.google.com/open?id=1LzA8eYPzlHu3WpXs5RdpcS_p-SiNru9H, https://drive.google.com/open?id=1tqF0_5XObtDugtpwqURo0ufc8seaBfqA</t>
  </si>
  <si>
    <t>Anh Phong</t>
  </si>
  <si>
    <t>0773020500</t>
  </si>
  <si>
    <t>https://drive.google.com/open?id=1z1_2VogPuaftleEZ0jjtC2p1GQMVBnAn, https://drive.google.com/open?id=11Kx2AYWKI85AGq7MJ2HQn20DWfYxN0ca, https://drive.google.com/open?id=1u56jhaFWIKKCBKKbqo8Xqv1gFJ0i2KlR, https://drive.google.com/open?id=1pwjWySOKFdBio9k6Yo9HlEPu7GSbFhmM, https://drive.google.com/open?id=1UdEg9omGobhvis-mbeBvuD_3BHlTbLmM</t>
  </si>
  <si>
    <r>
      <rPr/>
      <t xml:space="preserve">https://drive.google.com/open?id=1DkPqzONMnh8H5exOHGNKuzMeJFbfBRy2, https://drive.google.com/open?id=1yOj8tqj1L2ukf8ge84u3z4Em4uVfctoP, https://drive.google.com/open?id=18SF7RRajdPHHCIKbOrtIs0Z3pDr4odnB, https://drive.google.com/open?id=1c1Y9TLebDEHcQOQRUgh4fY8RPn0W7A-M, </t>
    </r>
    <r>
      <rPr>
        <color rgb="FF1155CC"/>
        <u/>
      </rPr>
      <t>https://drive.google.com/open?id=1zrU1Ql8sVaenqTGAJSO4ZVn9n7--ytRo</t>
    </r>
  </si>
  <si>
    <t>0382628553</t>
  </si>
  <si>
    <t>https://drive.google.com/open?id=1efQyzkUZa6W32vGxIaQj_E5wN4d2oHuE, https://drive.google.com/open?id=1d9pKxi_RWTE6mzOux6i21SExPuWFEU_h, https://drive.google.com/open?id=1nZb4E95NBLBx59dSH8nejDZRbFsCeEfo, https://drive.google.com/open?id=1B5ohM5sdWO9W1YSm1GnC8WvIr4AP3VHb, https://drive.google.com/open?id=1zWYmmN8FkBW43umIXK5CsoMiAEW7aa9L</t>
  </si>
  <si>
    <t>ca này đi 2 lần do NPP gửi sai lọc</t>
  </si>
  <si>
    <t>Minh hiếu</t>
  </si>
  <si>
    <t>Combo W6412 ECo</t>
  </si>
  <si>
    <t>https://drive.google.com/open?id=1N8gKl7UsUvGnW6IjVHGNrJ1c8pInj4k8, https://drive.google.com/open?id=1HhnQ5V8p8TMpkvKegb0RM38I2gc08G8Z, https://drive.google.com/open?id=1GxU8rpgRoDvimdUT8EEb_kADibA3kpYB, https://drive.google.com/open?id=1oK75XhRPctCAgU6QjbJ-sx8g0JrYnR1b, https://drive.google.com/open?id=1sfoGADUFMKTM0cPN4epe_OpNd6Kv27SM</t>
  </si>
  <si>
    <t>Kh bấm đè nút lấy nước liên tục máy qua chế độ xã
Phải tắt nguồn mở lại là hết</t>
  </si>
  <si>
    <t>chị Trâm</t>
  </si>
  <si>
    <t>0949041010</t>
  </si>
  <si>
    <t>https://drive.google.com/open?id=1S5MMvP_HVSusjXl-LgsNgsprOD80s-qJ, https://drive.google.com/open?id=1W1pCDVEQZwgiv63umwSYqIkfJ983Ihr9, https://drive.google.com/open?id=12wsSnhQr_X9u-1RFhGnL5ETHyEKjZk6G, https://drive.google.com/open?id=14PrJP28TiqP_hmoX2YsE7tu3GkSxAALA, https://drive.google.com/open?id=18YQDpyf8T0le_EdiYC4IFPa9TbJTff9P</t>
  </si>
  <si>
    <t xml:space="preserve">Thảo phương </t>
  </si>
  <si>
    <t>0984099462</t>
  </si>
  <si>
    <t>Cto và pgp 5840</t>
  </si>
  <si>
    <t>https://drive.google.com/open?id=1OEn-L-q4omaN441phWfolfKM9gnny6h8, https://drive.google.com/open?id=1vfWFqOslvv6TSeE44RybPGeUkaW5Qyzj, https://drive.google.com/open?id=16NHaBYyj24GHEd1mJ5tPsEm860kPxnEr, https://drive.google.com/open?id=1DfAlWcahEIIpGT02pJMVDJkD9gfowqEt, https://drive.google.com/open?id=1gXkuD2K02T2nDdm_tkEJVyAInQLocH-s</t>
  </si>
  <si>
    <t>Anh Lộc</t>
  </si>
  <si>
    <t>0938860392</t>
  </si>
  <si>
    <t>https://drive.google.com/open?id=1uaB9kUtCvjHy5D_I9stnTuBTexow6s0q, https://drive.google.com/open?id=1R6FWZ10w5HLCxFnsYSmyOqo0hQDHgqDx, https://drive.google.com/open?id=1qf6tlgrhINyjoh76BKFdsC0k-AsMy1kE, https://drive.google.com/open?id=17JTfA8-xqccD51qqhj55rrcbJhP33mS9, https://drive.google.com/open?id=1SyOPTdrqpOqC6BVVt9PA-TONIUH2zRYn</t>
  </si>
  <si>
    <t>Lắp lại, thay pgp cto, 1 van chja</t>
  </si>
  <si>
    <t>0888801122</t>
  </si>
  <si>
    <t>https://drive.google.com/open?id=1CG2y3hNTn2dlt8t16osiQZ7gkDv1isqE, https://drive.google.com/open?id=16RlqMII-lt0OGGAo1t07Uwa1YMbJwivr, https://drive.google.com/open?id=1u88oIZPnJZ3yyGl7KeWBT_A-DqPXXvtQ, https://drive.google.com/open?id=1dQCTOE1dldFv9MZm9uY76bMkzQayPxhP</t>
  </si>
  <si>
    <t>A linh</t>
  </si>
  <si>
    <t>0903027912</t>
  </si>
  <si>
    <t>https://drive.google.com/open?id=1nWGM3ihnfYFYrvnXrPN5t9t88Bj31pBU, https://drive.google.com/open?id=19LxPsJCv5OmGc7cqqjZ5cEs54Iu_xxpf</t>
  </si>
  <si>
    <t>Giao máy cho a linh</t>
  </si>
  <si>
    <t xml:space="preserve">Triều KTV </t>
  </si>
  <si>
    <t>0934250890</t>
  </si>
  <si>
    <t>Máy nóng và lõi lọc</t>
  </si>
  <si>
    <t>https://drive.google.com/open?id=1eAkiG0EL7hOkgnukxkT9ivjcaWeEgtqg</t>
  </si>
  <si>
    <t xml:space="preserve">Giao máy cho a triều ktv </t>
  </si>
  <si>
    <t xml:space="preserve">A cường </t>
  </si>
  <si>
    <t>096 3362282</t>
  </si>
  <si>
    <t>https://drive.google.com/open?id=1dNniCsJYcap_XNXJp4aMylGbH4gYwbxX, https://drive.google.com/open?id=1E7n5Z8igPMqUaZSG0bb6NKbkh1jVo4wo, https://drive.google.com/open?id=1y2HEmnDIoN8EmQELzcCDHm4hYhtisBKn, https://drive.google.com/open?id=1gQjPGfWkrmMGXPebUfupEszYPGcIw1lO, https://drive.google.com/open?id=1AKOXczR0-KyL4UD2Z2lqwUawTv7mAT-K</t>
  </si>
  <si>
    <t xml:space="preserve">Chị Hằng </t>
  </si>
  <si>
    <t>0903825069</t>
  </si>
  <si>
    <t>https://drive.google.com/open?id=10q9-QZd6MIjTiGG0eLn_2k8itOlyKOsD, https://drive.google.com/open?id=1JohZF0t4CX3uqiqfujkngpRlawKpXxKR, https://drive.google.com/open?id=1JvVzkfR65dtoWMpHsTqyF8CMmh8zob3G, https://drive.google.com/open?id=1g-hzBYJ8eJNVlIVAQQPx3v41XwWOleNh, https://drive.google.com/open?id=1e66yqAHHW7tuiPzPqNnKHOLSNdirsgAj</t>
  </si>
  <si>
    <t>Zx</t>
  </si>
  <si>
    <t>Quí</t>
  </si>
  <si>
    <t>0379699050</t>
  </si>
  <si>
    <t>https://drive.google.com/open?id=1nQiBGjFMsAyuHPY6rK30qHw2crdmwo2H, https://drive.google.com/open?id=1vxSEBNFuPLNwbt2VsKjsCMwyt1KhkAZA, https://drive.google.com/open?id=1zmaN1n2B7iOAdvfrpv5dAsooOgOM3pdL, https://drive.google.com/open?id=1rxLhu40hAhu8JLkxye6hiIvyYppVbF41, https://drive.google.com/open?id=18d-mi2x7jGNz1IZ3ng4g2d_HopTrl6CF</t>
  </si>
  <si>
    <t>Nhà khách nước yếu. Đã gửi lõi tặng pcb</t>
  </si>
  <si>
    <t xml:space="preserve">A quang </t>
  </si>
  <si>
    <t>090 315 8805</t>
  </si>
  <si>
    <t>Thay lõi 5840</t>
  </si>
  <si>
    <t>https://drive.google.com/open?id=1_a-VExhp_hntAS0B4Ygt8Uu69CEIuVwh, https://drive.google.com/open?id=1Jk8QQBriFSXSb0covp-rb9SWe-nXUuda, https://drive.google.com/open?id=1tqr1HyzT4xCNjf1heWBUQpP_hO_PyVbC, https://drive.google.com/open?id=1ka8mZbYYw1mZb0uTOx1b4ju5s0CynBGj, https://drive.google.com/open?id=1iOl_0vg1BQ4FXvKDJjrE-d8wIYicMzXh</t>
  </si>
  <si>
    <t>0905228536</t>
  </si>
  <si>
    <t>Truvila ur61096h</t>
  </si>
  <si>
    <r>
      <rPr/>
      <t xml:space="preserve">https://drive.google.com/open?id=1Occ31CRSVhaRQOHLl8jw1rOHnlLu-t2j, https://drive.google.com/open?id=1TQr-58y5NUcjCul4IozYCGi4sFCzSWvm, https://drive.google.com/open?id=1ABVjuj9MghIDR-N5fQhv0qkpJ_Zrl7uE, https://drive.google.com/open?id=1qHMqb9ZU1Wf_dZJCfxaxJUIUBx19dbTx, </t>
    </r>
    <r>
      <rPr>
        <color rgb="FF1155CC"/>
        <u/>
      </rPr>
      <t>https://drive.google.com/open?id=14HCJxiNyDeV0yrei7aCiiUR-i3cS5yA5</t>
    </r>
  </si>
  <si>
    <t>0372184821</t>
  </si>
  <si>
    <t>https://drive.google.com/open?id=12YguOgKffFwjIVjtkg7KvYLtV-i3WhwV, https://drive.google.com/open?id=1WdVfd58Fwb5cVtog-vIheuaC5NaBGq38, https://drive.google.com/open?id=1LNPONaKneXnNjMvOYqXXcEfvu1NuTcbp, https://drive.google.com/open?id=1DEYP7T9nREI9TD8MYQ7THnqFw6GcQUvg, https://drive.google.com/open?id=1HGF4l2zMdyQv1CFXre3nQisjApjUtAJN</t>
  </si>
  <si>
    <t>Lâp theo yêu cầu k.h</t>
  </si>
  <si>
    <t>0902668822</t>
  </si>
  <si>
    <t>https://drive.google.com/open?id=1KI05B7ckGOE-Ji-h3NtBz8I7bxdq-Eep, https://drive.google.com/open?id=1FDSmPnxjp8RWkT6m8GwJaSkpCIAE5T9z, https://drive.google.com/open?id=1-xZyCuCaMmVQDXEAlaA8KsBv_U0wy6Tv, https://drive.google.com/open?id=1PQaWoEFfG8CJo9QHPblgiUAStsHfwOfK</t>
  </si>
  <si>
    <t>Khách đã chuyển khoản - khách xin xuất hoá đơn VAT</t>
  </si>
  <si>
    <t>Chị Nga</t>
  </si>
  <si>
    <t>0903376189</t>
  </si>
  <si>
    <t>Combo - Máy lọc nước nóng lạnh treo tường Truliva W6412 ECO</t>
  </si>
  <si>
    <t>https://drive.google.com/open?id=1SJpjyK-OQwsGEg3HlavnfDWkmpvznx8V, https://drive.google.com/open?id=1E8msbDaxxkNC6TTLqmpEeleB7birjItT, https://drive.google.com/open?id=1_iZVvepyJGOuwAZ-UNjeBH--bbp-1eEJ, https://drive.google.com/open?id=1zSP91oIzQ-Rt-hathcDGhm2-09kLqxYL, https://drive.google.com/open?id=1JWRIwF5MjuhnRax0I1Y4RSZXW5RnXl0N</t>
  </si>
  <si>
    <t>1 dây điện nối 40k
1 nút bít + nẹp 10k</t>
  </si>
  <si>
    <t>Chị my</t>
  </si>
  <si>
    <t>0976706674</t>
  </si>
  <si>
    <t>Lõi lọc PGP Truliva UR5676/UR5640/UR5440</t>
  </si>
  <si>
    <t>https://drive.google.com/open?id=1kH7ueyghvxvrC1s2lzH58P1-bfQZHDLM, https://drive.google.com/open?id=1-kLfZdr9tZSehisw1nYAxmHHGMxCTKo5</t>
  </si>
  <si>
    <t>A hải</t>
  </si>
  <si>
    <t>0984261813</t>
  </si>
  <si>
    <t>Lõi lọc RO Truliva UR5840</t>
  </si>
  <si>
    <t>https://drive.google.com/open?id=1qL2YfJgtQPMY6KzhbsQXcJcZX5HaQoH2, https://drive.google.com/open?id=1QSzDPDqSyzugj-V6QSpZGZ6ynUgrPkY_</t>
  </si>
  <si>
    <t>0936098966</t>
  </si>
  <si>
    <t>Lõi lọc CTO Delica UR5640/UR5440</t>
  </si>
  <si>
    <t>https://drive.google.com/open?id=1LvhUz6scP5DBYHowsP8RV9nubKayPmwR, https://drive.google.com/open?id=1Qj2Q-unSTvK03kbolizSp8xG4RGDQTC_</t>
  </si>
  <si>
    <t>Anh minh</t>
  </si>
  <si>
    <t>0704935555</t>
  </si>
  <si>
    <t>Lõi lọc RO Truliva UR5440, Lõi lọc PGP Delica UR5640/UR5440, Lõi lọc CTO Delica UR5640/UR5440</t>
  </si>
  <si>
    <t>https://drive.google.com/open?id=1mVwr5p_rtaEd0s7bu7vMayGKVwXbVshW, https://drive.google.com/open?id=10DstpANzPipIqo42jdqDHVIC7MZLm4wU, https://drive.google.com/open?id=10YtHPghgUyhzYBNJyvn5Jg5BEezY1nlt</t>
  </si>
  <si>
    <t>Đã tt tiền mặt phí giao hàng 20k</t>
  </si>
  <si>
    <t>Việt Đức</t>
  </si>
  <si>
    <t>0936999092</t>
  </si>
  <si>
    <t>Bộ lọc nước tại vòi Truliva O-O5111</t>
  </si>
  <si>
    <t>https://drive.google.com/open?id=1dJ8oHSDhdS1v8rSOexKyq7nvYVMVm-yQ, https://drive.google.com/open?id=1ulkt4GpaaB_yKXs5U3eZgEMxN9SHd1Y2</t>
  </si>
  <si>
    <t>Đã trả phí sip 20 k</t>
  </si>
  <si>
    <t>Chị hường</t>
  </si>
  <si>
    <t>0365665893</t>
  </si>
  <si>
    <t>Thái Nguyên</t>
  </si>
  <si>
    <t>Lõi lọc PGP Truliva UR5676/UR5640/UR5440, Lõi lọc CTO Truliva UR5676/UR5640/UR5440</t>
  </si>
  <si>
    <t>https://drive.google.com/open?id=1Wj4TleBe_SaRVo06uzNLq5hZ8xd6L3b7, https://drive.google.com/open?id=1YD-06-b7M-rZyTTvOH0HvaCmL1Jkegx9</t>
  </si>
  <si>
    <t>Đã giao tt phí sip 55k</t>
  </si>
  <si>
    <t>0937524795</t>
  </si>
  <si>
    <t>https://drive.google.com/open?id=1byojmSRuUBZ7vm1AFvfUlpLC1JcsRsgj, https://drive.google.com/open?id=1XMzCqyEAZoXA2Zf4Fgn_bI_hmLyll6Cu, https://drive.google.com/open?id=1UPWYIPEqWLMdGqLqEz1VMnScZ0phTOji, https://drive.google.com/open?id=1BonNbBnQsUqde3lzUAg2byTnZwIDPlqw, https://drive.google.com/open?id=1FX4WNsYV3nf4cFBOZPep1dPwtFMC18Dw</t>
  </si>
  <si>
    <t>Thảo thư</t>
  </si>
  <si>
    <t>0905850204</t>
  </si>
  <si>
    <t>Lõi lọc PGP Delica UR5640/UR5440, Lõi lọc CTO Delica UR5640/UR5440</t>
  </si>
  <si>
    <t>https://drive.google.com/open?id=1z5eHxGlTDjwKGfm0BDNNXp6VnIHdGaql, https://drive.google.com/open?id=1nAXWBp0pps7HwtHTH5wpibjXykvEZdyG, https://drive.google.com/open?id=1lOylDB60SAM6pD_A_j4m3EryKz_CEiS0, https://drive.google.com/open?id=1Ak0uoWIq5gHdaVXEVxFnwsbS7c07WpYd, https://drive.google.com/open?id=16k6RoVjd9MgfJ1PvhqW9QgB9PS88w7ef</t>
  </si>
  <si>
    <t>Khách hàng đã thanh toán</t>
  </si>
  <si>
    <t>Anh chính</t>
  </si>
  <si>
    <t>0903823994</t>
  </si>
  <si>
    <t>https://drive.google.com/open?id=1dwX2uN6s7gktGRxPa6ocyixhBOhLVueh, https://drive.google.com/open?id=19vLQKB8cxMQ2yv8rFINyeCbl__REgAW8</t>
  </si>
  <si>
    <t>Khách đã thanh toán</t>
  </si>
  <si>
    <t>Lê Thu Hương</t>
  </si>
  <si>
    <t xml:space="preserve">Anh Đức </t>
  </si>
  <si>
    <t>0983733333</t>
  </si>
  <si>
    <t>https://drive.google.com/open?id=1yiMM-mTKijC8DOFS32WpNoRNmOW6keTA, https://drive.google.com/open?id=1VsjTycg6OJrQLOzpKRCoovUYKrr3khto, https://drive.google.com/open?id=1DaAHoHvdemJara2sgKSBPazxRbQhFLAS, https://drive.google.com/open?id=158sbes9iWrmb3ZTqJ-M-eRPhpDdYqyOs, https://drive.google.com/open?id=1xlCkoQwWAYKH-gBPg159DKTMGM4o2WfF</t>
  </si>
  <si>
    <t>Anh kiệt</t>
  </si>
  <si>
    <t>0981015576</t>
  </si>
  <si>
    <t>https://drive.google.com/open?id=1yHjd-U50t5rYlc3XxjQSYzKB_WcknrPM, https://drive.google.com/open?id=1MG6xgl2uPbc0GbVS5B16imfyD0GkY_WL, https://drive.google.com/open?id=1LLVzR0160TVO838FkTFt2BqGAe3UXxGb, https://drive.google.com/open?id=1eZz2eWvJMw5zewgOJIpHyOZQHKVeirAV, https://drive.google.com/open?id=1Pz3c2esO8VILFE4hYP8OJIbAjebi_T6V</t>
  </si>
  <si>
    <t>Đỗ thị thu hiền</t>
  </si>
  <si>
    <t>0988609513</t>
  </si>
  <si>
    <t>Lõi lọc PGP Delica UR5840, Lõi lọc CTO Delica UR5840</t>
  </si>
  <si>
    <t>https://drive.google.com/open?id=1keURd_IImY878f-CNDIUTtTPfRtnE7fD, https://drive.google.com/open?id=1_S7RVPH4p9U0k7FnPjb76ZH5W9efl9Zi, https://drive.google.com/open?id=1WojnuIz9LwfipnNl5jZI378SyUepJ9gm, https://drive.google.com/open?id=1RSGEXdaiWdFS5HEt9V5Emxx42g9Vt0BT, https://drive.google.com/open?id=1z-phNfktlWtA8ByWta6X-uTsneKU_qIx</t>
  </si>
  <si>
    <t>Chị tuyến</t>
  </si>
  <si>
    <t>097 2797709</t>
  </si>
  <si>
    <t>https://drive.google.com/open?id=1BJYaq2A3asMyl4relbLasEG2-6bgK4bu, https://drive.google.com/open?id=1GgIUbH0GTbr_IBCYst1lO9H6cOLNzgt5, https://drive.google.com/open?id=10ObXmuc2vkWbWFL13Fx49g6f7mWIREG0</t>
  </si>
  <si>
    <t>Thúy Nguyễn</t>
  </si>
  <si>
    <t>0936711533</t>
  </si>
  <si>
    <t>https://drive.google.com/open?id=1OEBHeFlolrIuRwxMOfkohrDFax5Q60DA, https://drive.google.com/open?id=1XiHYuVnSQEAdNMRHkjHgNlKZlvpny_fS, https://drive.google.com/open?id=104riIl-ChDwsdcKjRaW7tiJCSU8GNDFM, https://drive.google.com/open?id=1i0Zkvd9kM3dtS5O6A6q8Q5R4ci0tIKL5, https://drive.google.com/open?id=1CEgjZIy0BCcg2kGK8VpMUmc6VkAUvg38</t>
  </si>
  <si>
    <t>Phụng Thảo</t>
  </si>
  <si>
    <t>0336671582</t>
  </si>
  <si>
    <t>https://drive.google.com/open?id=1miGu7wcBcWzdFWM_cfbZWXI1xnHJQji_, https://drive.google.com/open?id=1X5t27m-u-SVnXvT4frqp8uBeeM98I6Tm, https://drive.google.com/open?id=1MErScdi0JyWv39HEWtFHcEpE7ok69jfd, https://drive.google.com/open?id=1EcYQweudbhXDNimpyQZxQDLNOQ9bGo8M, https://drive.google.com/open?id=1eVIxzx6dbkn7HdVoa1Ibt9Fm2rTcXfgp</t>
  </si>
  <si>
    <t>Trạm Yên Bái</t>
  </si>
  <si>
    <t>Nguyễn ngọc Tú</t>
  </si>
  <si>
    <t>0367897162</t>
  </si>
  <si>
    <t>https://drive.google.com/open?id=1aqRQ80VnDXFmWsz38U-m1upe6_kxawob, https://drive.google.com/open?id=1W66-Rx631N7-2JNHh0SGxQuxxr0NujlQ, https://drive.google.com/open?id=1caZsiuIEZ92m5TnrnbP8rM93Dcrq0-IF</t>
  </si>
  <si>
    <t>Nguyễn Mình Hải</t>
  </si>
  <si>
    <t>0834293366</t>
  </si>
  <si>
    <t>https://drive.google.com/open?id=1p8piEXOZyZA7b9MJsF6dRP_-y4sOmiew, https://drive.google.com/open?id=1LEdGfRJyIzqT_gJf3BCTgcOGF82teQe_, https://drive.google.com/open?id=1TYWK5jp60DXsjsX0Sai7MV2b0BKteurz, https://drive.google.com/open?id=1QyW_WeLCdqMG3Ig_cCsy6mVrdUcGWQGc, https://drive.google.com/open?id=1qKvqEpeqFOc_6qevnWhHxVr37AFJtaEC</t>
  </si>
  <si>
    <t xml:space="preserve">Nguyễn Mai Phương </t>
  </si>
  <si>
    <t>0338009595</t>
  </si>
  <si>
    <t>Lõi lọc RO Delica UR5640</t>
  </si>
  <si>
    <t>https://drive.google.com/open?id=1g0WheU62Sztp62bvMbMDq36nTv_CBPyY, https://drive.google.com/open?id=1R12qFRKvA2s3JW_UKNA7wFWMJDwv8DnK, https://drive.google.com/open?id=1mq3K2mTi55nO_yR4tdpDYndEICG1t_a7, https://drive.google.com/open?id=1hkzdDjxjy7p5LqbScRZxH9NjGF-t0Ecm, https://drive.google.com/open?id=1qRkPDq8VXVGMNleiFDf_iRKTXDM4L-Ea</t>
  </si>
  <si>
    <t xml:space="preserve">Chị Hạnh </t>
  </si>
  <si>
    <t>0933212883</t>
  </si>
  <si>
    <t>https://drive.google.com/open?id=1maP-9MgnBczWYb8acH2tal--yh73XLBC, https://drive.google.com/open?id=1kRbrm1_7O03EANQzaN3k-gTiYLjohWyH, https://drive.google.com/open?id=1CyGumxsMt9fBgnROLjV_0fFtpOUqJGwX, https://drive.google.com/open?id=19cH0JcgcBVsPDf_AYATklCgRwN0A0VIc</t>
  </si>
  <si>
    <t>Gia An Hưng Thịnh ( Chị Tâm)</t>
  </si>
  <si>
    <t>Máy lọc nước Truliva UR5840</t>
  </si>
  <si>
    <t>https://drive.google.com/open?id=1vfL9PIXJkXrpR11Rs0vvWzfJBRHqpD2I, https://drive.google.com/open?id=1fnECbojfCbZe5Ji-e-JB-kz9muan5L7R, https://drive.google.com/open?id=1H0p8DnmC_NKkxQS8v19kF_sAYWczHMzV, https://drive.google.com/open?id=1Ei-KRykpi1Ce2T4qTVnTwuLPuvqEVqHT, https://drive.google.com/open?id=1go4dGOQLSqODHsQRc0KiBrIVk0UzATWi</t>
  </si>
  <si>
    <t>A Đong</t>
  </si>
  <si>
    <t>0909342348</t>
  </si>
  <si>
    <t>https://drive.google.com/open?id=14jXZ5ux14hnjnP8Y_TNJ3wMaUTHXFVcc, https://drive.google.com/open?id=1GvHezN9z3sW67-Qzrpu1fw4wrJNRfTqS, https://drive.google.com/open?id=1KBRWezUaPkWqAZmJSVcvozrmUy90eyvI, https://drive.google.com/open?id=1-OypVlqEFiGKqxYkPUaQjmrDDVbCdLbj, https://drive.google.com/open?id=1KdUJL5tg-AgDH27BYVrnQPxjCN_50BTl</t>
  </si>
  <si>
    <t xml:space="preserve">Lắp đặt mới </t>
  </si>
  <si>
    <t>Lanh anh</t>
  </si>
  <si>
    <t>0906464389</t>
  </si>
  <si>
    <t>https://drive.google.com/open?id=13Z3vQnbVntEp_7PKiYcbE8hGuNg1uxAx, https://drive.google.com/open?id=17oiUezldcGTsBwSc6OBj-zpuvLrCS2cP, https://drive.google.com/open?id=18Oc_7dbRA6R-rlPrcSxOyPX0_UT2FwBJ, https://drive.google.com/open?id=1OY9ZDyY4CP6N_WeUMRRqTEVf42537FEX, https://drive.google.com/open?id=1RpO2kXNA8slLRhW3vBFiUN0fhRNQC2f8</t>
  </si>
  <si>
    <t>1858250882200091</t>
  </si>
  <si>
    <t>Chị Thúy</t>
  </si>
  <si>
    <t>0336393988</t>
  </si>
  <si>
    <t>https://drive.google.com/open?id=1n0QXAGIC8pgWRPgJMBtNFBB4QCOPYGPZ, https://drive.google.com/open?id=1N2YRIDX53xbuolcGp7ZyMjKYJdXHU5fv, https://drive.google.com/open?id=1O9iQ4P9w3Cl6jcfJP_6ilicBjRdbdEjW, https://drive.google.com/open?id=1f4WDSWSmkXzsB0fnHZn1i4UvEIt_kakT, https://drive.google.com/open?id=1ZvaF1MySYmeZm3Dvg7zqlbr_fDwNwrQr</t>
  </si>
  <si>
    <t>Ktv ko thu tiền + KTV khảo sát khác ngày</t>
  </si>
  <si>
    <t>https://drive.google.com/open?id=1CDaiPIsLKrhPZjHGcEEMw74qwouazMgU, https://drive.google.com/open?id=1jhA7nnO21f-N31Jtis1nke8eSBfIl-P_</t>
  </si>
  <si>
    <t>Đã tt cước xe 110k</t>
  </si>
  <si>
    <t>A huy</t>
  </si>
  <si>
    <t>0903265470</t>
  </si>
  <si>
    <t>https://drive.google.com/open?id=1CnEmKi1Qigzo7Wkwg64tGvv55vYNdRbd, https://drive.google.com/open?id=1Aw8RFBKMUXOxtrqXH4y8eMPn0eIf9ciA</t>
  </si>
  <si>
    <t>Chị vinh</t>
  </si>
  <si>
    <t>0904261215</t>
  </si>
  <si>
    <t>https://drive.google.com/open?id=18txiFjED5L1NhXk-uVjxgTVSOPKKrKVT, https://drive.google.com/open?id=1WRBQUQjyKgC2SSDFi78eJ3DzTO4mrSIO</t>
  </si>
  <si>
    <t>0985988786</t>
  </si>
  <si>
    <t>https://drive.google.com/open?id=11aQckklICpkvYLVIt00OiSZMsXL85JiQ, https://drive.google.com/open?id=1d4YNdJ6mkTfXaHxe1OG2A7a_AOG5K-wf</t>
  </si>
  <si>
    <t>Chọ Nga</t>
  </si>
  <si>
    <t>0986596691</t>
  </si>
  <si>
    <t>Lõi lọc RO Truliva Lavita CR5240, Lõi lọc PPCF Truliva Lavita CR5240</t>
  </si>
  <si>
    <t>https://drive.google.com/open?id=13yEKQQtIXjV0zVRYcRBJTHY6mwff8jgj, https://drive.google.com/open?id=1GAE2s9jjiab3yK-ukxlVp4vCS385L8jD</t>
  </si>
  <si>
    <t>0393967976</t>
  </si>
  <si>
    <t>https://drive.google.com/open?id=1Vy38q_Z91_k44UyPP5U6RTvSgiXJ6Ca3, https://drive.google.com/open?id=1_EgQVNznlpO710BqQ3Pv4aaUFpVtFKLh, https://drive.google.com/open?id=1-5XD7XoOt9eYzXkMB3yafPDsujd019J4, https://drive.google.com/open?id=1YKu895TCdoh191I4TD9VtK6ryjH7A0BU, https://drive.google.com/open?id=1db3IQjjANPleoJrzz_HusR-tCGzMn8JJ</t>
  </si>
  <si>
    <t>1858260020700032</t>
  </si>
  <si>
    <t>Trịnh Anh Tân</t>
  </si>
  <si>
    <t>0976394179</t>
  </si>
  <si>
    <t>Lõi lọc PGP Truliva UR5840, Lõi lọc CTO Truliva UR5840</t>
  </si>
  <si>
    <t>https://drive.google.com/open?id=1F8Kbk9AaCeohgso2scZvXmjdtFV68Bvt, https://drive.google.com/open?id=1Z_RVfgXWoXX7ggXgsJgwEYRbEy4xI-Ss, https://drive.google.com/open?id=1YnIDPQMvZX1NY3b2-UVCpvFZQsVW9rkR, https://drive.google.com/open?id=1X3K0XGSsUTt-iEdi0ZQBFJVFqAyThWIW, https://drive.google.com/open?id=1lNfSch-kPeeWApLKx3EPGp0SJPktNszI</t>
  </si>
  <si>
    <t>Quang Hà</t>
  </si>
  <si>
    <t>0378553305</t>
  </si>
  <si>
    <t>https://drive.google.com/open?id=1A6uDL8trEZ0vsBboIZKC-y8aBZVcuRJc, https://drive.google.com/open?id=1u1agsk6R5yL5bOIQbxXivKcacaT2b2ov, https://drive.google.com/open?id=1E5COStTkCqwAenr0QUkJXlqbo0OUayqI, https://drive.google.com/open?id=1BHSTgCbBeMPRU_LDCRHDrHaeRLfuPvUN</t>
  </si>
  <si>
    <t xml:space="preserve">Anh cong </t>
  </si>
  <si>
    <t>https://drive.google.com/open?id=1Xncvmxxw3QgMFxAlr6Fbf2aZR5ym05-O, https://drive.google.com/open?id=1X7hzgsSkN_dvjWXlYm9bQ5axtApouyX1, https://drive.google.com/open?id=1Ge5eB9ddJ6WjMcTTXl628jKcQ2GEzg1d, https://drive.google.com/open?id=1DOfzddZIF5P3fq8qVqan7kfRBCnAYL_K, https://drive.google.com/open?id=18BS0bqL5dR2wluxQHCMwFxRzeXZ3IzPD</t>
  </si>
  <si>
    <t>Anh huy hoàng</t>
  </si>
  <si>
    <t>090 8806976</t>
  </si>
  <si>
    <t>Lõi lọc PGP Truliva UR5840</t>
  </si>
  <si>
    <t>https://drive.google.com/open?id=1mG0Z7pacUW2Ts68WMQ49ou0CMqz5RLHg</t>
  </si>
  <si>
    <t>0342266909</t>
  </si>
  <si>
    <t>https://drive.google.com/open?id=1MIARcLS9WS0Arc4Vf6nyrxVMJ4KB5hJi, https://drive.google.com/open?id=1bfDuJyR9sZUkWdoHuCEcV7vD199Eo4rZ, https://drive.google.com/open?id=1xZt9TXZF9d-oBytY8aO8fC2W6772cGVu</t>
  </si>
  <si>
    <t>Quốc</t>
  </si>
  <si>
    <t>0913519688</t>
  </si>
  <si>
    <t>https://drive.google.com/open?id=1GaW9zwt3_NaMVQXnWawo-6QQE2XEqoGt, https://drive.google.com/open?id=14jI2HAvGwth-uiDt3A1P_9Gj3_WrBAzb, https://drive.google.com/open?id=1MVN9ZojMpbecY-QlTx7tV13ggzu8phgr, https://drive.google.com/open?id=1UHXCrb1j-LiWC3VOFJXySWcoWtAQN357</t>
  </si>
  <si>
    <t>Khách trả tiền mặt</t>
  </si>
  <si>
    <t>Chị Thư</t>
  </si>
  <si>
    <t>0966733898</t>
  </si>
  <si>
    <t>Máy lọc nước Truliva UR5676</t>
  </si>
  <si>
    <t>https://drive.google.com/open?id=1H2RqUTix8sNH-GVC3KIHn2hNV9nkFyCD, https://drive.google.com/open?id=14YX7zD6Wx8SGt_BLYuUhWhpZ_Emsv0px, https://drive.google.com/open?id=1vIhhRb0njSDuaZhZE9n5RGIZuUWYvRr7, https://drive.google.com/open?id=1o5t7uQEmIOrNoL97he3AxGPPnNW_XgSZ, https://drive.google.com/open?id=1DSAEGOac5zRmGvv5GGl9l1ezgjJtlwzK</t>
  </si>
  <si>
    <t>A tùng</t>
  </si>
  <si>
    <t>096 3575859</t>
  </si>
  <si>
    <t>https://drive.google.com/open?id=1DxjZZALxuyZIOp0vRCpHiq9spBgzhjaH, https://drive.google.com/open?id=17oynWVnOUEs74w9q03PKJut2X61yiO9D, https://drive.google.com/open?id=1TVaWE0A4d7kwIBiMsHugwA_nkGZYrtwO, https://drive.google.com/open?id=1VsDcN4Ib2QFjnTPppb5N1ZPSqwNk1Nd6, https://drive.google.com/open?id=1LbDF2eOwn1wHwSD9edO__9TnvMDftYLx</t>
  </si>
  <si>
    <t>https://drive.google.com/open?id=18pUJHEiAWtRUKcFl5XOSsB5rcjgnA8Ud, https://drive.google.com/open?id=1xTdOD7d3LEoVGEn6b0K8dJBwiNn5MheM, https://drive.google.com/open?id=1sDI2R6SToVsRzh1fIGRUkBE3dIol4jDc, https://drive.google.com/open?id=1Ji4ZAdd7H9o3vDzWULObAzeRuk31RoZq, https://drive.google.com/open?id=14fJ6U59SiHvqQbJ3CCZINkPXQvIQufn1</t>
  </si>
  <si>
    <t>Đổi máy và lõi Ro cho kh</t>
  </si>
  <si>
    <t>Anh Hưng</t>
  </si>
  <si>
    <t>0983071563</t>
  </si>
  <si>
    <t>https://drive.google.com/open?id=1F1PH7zpSuo7dWP1YMyJaoXQKnkfzgb2r, https://drive.google.com/open?id=1sifC-D3rNnZO8hecDx-T6L77qjpppzI2, https://drive.google.com/open?id=1aBPnU4LjIvKxTJtuMklwa4qLEBhtQxka, https://drive.google.com/open?id=16aLzJFhzCAZ4uFhrH3j2B_iFjFFYibTs, https://drive.google.com/open?id=1NpYmUuT4Tmu8QN5SdWmpTI1dzJVVwORV</t>
  </si>
  <si>
    <t>Tùng Thanh</t>
  </si>
  <si>
    <t>0987886466</t>
  </si>
  <si>
    <t>https://drive.google.com/open?id=1hqom1nzt5802f7oDMMSRHs1-b3bnG00W, https://drive.google.com/open?id=1JklhMRzDIKVKcfYQkX4mSthtlYBgCGLW, https://drive.google.com/open?id=1ma2wg9z0rlZQol6wLeaiLSPjiZkw5DQW, https://drive.google.com/open?id=1jm2hJL1RoxggUQ-XahQPx52LXtLwQAFe, https://drive.google.com/open?id=1M8hkWHf98dskszwF-FMJ7ajL8MFH7eY-</t>
  </si>
  <si>
    <t>anh Nguyên</t>
  </si>
  <si>
    <t>0976507070</t>
  </si>
  <si>
    <t>https://drive.google.com/open?id=1LYCz5Vzyuuz5TThw5p54CyOI9MY_AjyZ, https://drive.google.com/open?id=1aHsWmHrUXmvgcN3e9nNwoz8E8wys4lhY, https://drive.google.com/open?id=1-if18vSEZ903BSzMnZZK1xSYoQq8YvMU, https://drive.google.com/open?id=1p2jBbwTJwgfTDV2gShcRfsk6NTd8OyaQ, https://drive.google.com/open?id=1RmX3bNRwGwRfojCKZZsKm_XO-3kug5BE</t>
  </si>
  <si>
    <t xml:space="preserve">chị Ngân </t>
  </si>
  <si>
    <t>0901481310</t>
  </si>
  <si>
    <t>Máy lọc nước Truliva UR3626</t>
  </si>
  <si>
    <t>https://drive.google.com/open?id=1vk3UitjQLC87SISzgzWIFjjkb7DNx2uL, https://drive.google.com/open?id=1D2f7LpxdFvZzswnexPac9cWnRcZ1H7a-, https://drive.google.com/open?id=1csqWuZdJ1o5oo2KS0EyETjYy0iPt_DJV, https://drive.google.com/open?id=18wL_E9bQpmdavqpK5ZBdKAQ3ot-rPRA_, https://drive.google.com/open?id=1ZCTV-OpUbhvL1ecgFsc-XVNuDIEuqJCg</t>
  </si>
  <si>
    <t>Nguyễn Yến Thanh</t>
  </si>
  <si>
    <t>0914506509</t>
  </si>
  <si>
    <t>https://drive.google.com/open?id=1KlBXu1Yy5Dd-J85V9s22fVjVNtCDHJao, https://drive.google.com/open?id=1xjdV18yUHgFQ8tOqfGDbdHKs0_a0l8gn, https://drive.google.com/open?id=1AmL8W_oze_VfZZ--S7P-p1dw_gbb69dQ, https://drive.google.com/open?id=17uqfMLpRAYvZmIwnBtD1CugBwjQX59n6, https://drive.google.com/open?id=1SMqQ4l1oWLjeaLUaE7z94Hmdih1H8Efj</t>
  </si>
  <si>
    <t>Phan Cảnh Lin</t>
  </si>
  <si>
    <t>Ngô Lực</t>
  </si>
  <si>
    <t>0901120095</t>
  </si>
  <si>
    <t>Thừa Thiên - Huế</t>
  </si>
  <si>
    <t>https://drive.google.com/open?id=16nfK3gmuTEJTBZTxy-0QuaB5gaZQxKGP, https://drive.google.com/open?id=1DwOzs4Kh7ExDhB1fJAkNlGhU2sj7cIdR, https://drive.google.com/open?id=1JhB74cMH2RDa2Y43aAvczT8h_3uUkSC0</t>
  </si>
  <si>
    <t>1010187139889988</t>
  </si>
  <si>
    <t>Anh chiến</t>
  </si>
  <si>
    <t>0929233668</t>
  </si>
  <si>
    <t>https://drive.google.com/open?id=1q_Gs9apA9xdnBMmsFCQ3zNUJn0x5PzAx, https://drive.google.com/open?id=1AJuZzLISOaYKQh_JlUIa5Zmkl4Tzlle5, https://drive.google.com/open?id=1x-t_zDTdNQLrxh9sYhAkDkyo-oBVYPgl, https://drive.google.com/open?id=1ii6BnJTNIVqbMoF8TNqTElLsyuWM9ln0, https://drive.google.com/open?id=148EyMiLi8HQ1d129hWABWic1I_7sXpAC</t>
  </si>
  <si>
    <t>Anh Đắc</t>
  </si>
  <si>
    <t>0914993069</t>
  </si>
  <si>
    <r>
      <rPr/>
      <t xml:space="preserve">https://drive.google.com/open?id=1dolpCjshENhyIhzEyLzkbFhs_1uf0wMM, https://drive.google.com/open?id=1mfmuEtc8c-A-RdstOVrVOVvMN9anxn0j, https://drive.google.com/open?id=1neqvak3iFXrOT61qyS8jGIGDLfI-fD7F, https://drive.google.com/open?id=1qBhJJqtUGLaCjYPPu_9eXzvm6syreyG0, </t>
    </r>
    <r>
      <rPr>
        <color rgb="FF1155CC"/>
        <u/>
      </rPr>
      <t>https://drive.google.com/open?id=1ukH5G_AhT8unF9MXA9ofU3avVSZFqfjA</t>
    </r>
  </si>
  <si>
    <t>Chị Hòa</t>
  </si>
  <si>
    <t>0912670398</t>
  </si>
  <si>
    <t>https://drive.google.com/open?id=1PvCKA2oQfI0WZifrnBrh17Rmd0argku8, https://drive.google.com/open?id=15OepS-Q_mBUefzeHIZaqH657_I4FyavV, https://drive.google.com/open?id=1pULeVddXj_b7V6ajPKUvRTfcBZoinGsp, https://drive.google.com/open?id=151-bFDhMW4STp5PHkuc8Byl4rc8moMJY, https://drive.google.com/open?id=128bKgJt3Ubl2uFEJgjsjO_n4WZTEa-JT</t>
  </si>
  <si>
    <t>Chị Hương Trà</t>
  </si>
  <si>
    <t>0917659000</t>
  </si>
  <si>
    <t>https://drive.google.com/open?id=1nF9qCLOQZAS_HEw7Vbd-Rx7liPVZI7Co, https://drive.google.com/open?id=1rJzFyeVjQoagACCHQ41JSVpnAukgxajP, https://drive.google.com/open?id=1D_ZIchXw5RSn4XxYTOJDmZUoogwdVWE0, https://drive.google.com/open?id=1oSkO__HoCDkYZaQ7eknOonrEi1i-ghjE, https://drive.google.com/open?id=1BINckkYfQ_-fSj_5KwlmYahDD3TTUoah</t>
  </si>
  <si>
    <t xml:space="preserve">A dat </t>
  </si>
  <si>
    <t>0982274370</t>
  </si>
  <si>
    <t>https://drive.google.com/open?id=1uBJRxbA8CH0fnfQRZxVED0AvLNZRjvmB, https://drive.google.com/open?id=14PqXn2vRMS_19HRgvijk2h71AKYX3bG8, https://drive.google.com/open?id=1XsfJvtwthHveV91VXNBiLdG7cC2Btdpr, https://drive.google.com/open?id=1t9BDlnQSnh_Ke0RvwikY-VZr8hZAOUKo, https://drive.google.com/open?id=1MsVT5b-P-E0QZYfmsVJF4dfGF-EMiiPQ</t>
  </si>
  <si>
    <t>A Đắc</t>
  </si>
  <si>
    <t>https://drive.google.com/open?id=1WHAw8o1Z0wC_syml5tbIrid5iR8ZxdjW, https://drive.google.com/open?id=17DMzURiJi1S3wL24FCcoNfPTvo5sLokk, https://drive.google.com/open?id=1p5ZSggVI2x0d6Boj__HvtHARXIdafXR3, https://drive.google.com/open?id=1i1EMbJBhaa2cj9PbZ-SZ1CjACRCIQeCj, https://drive.google.com/open?id=1Il0IMuR5vqU_tWHAjlaMJDBiyEKcBDLB</t>
  </si>
  <si>
    <t>Lợi</t>
  </si>
  <si>
    <t>0909494286</t>
  </si>
  <si>
    <t>https://drive.google.com/open?id=14z3a2dqXT68J-l7xfvcZesSP_8R6w-qX, https://drive.google.com/open?id=1JdwuKUhtBfBg40zmSeg-yGT32N5PptJu</t>
  </si>
  <si>
    <t>0914991228</t>
  </si>
  <si>
    <t>Lõi lọc RO Truliva UR5840, Lõi lọc PGP Delica UR5840, Lõi lọc CTO Delica UR5840</t>
  </si>
  <si>
    <t>https://drive.google.com/open?id=1gzoKgw3BaXQ_1JmmEKWTmdTtebRg_tFb, https://drive.google.com/open?id=1IyYCuGrmQsopnw7TcrQ0bY10Yvaqsfqr, https://drive.google.com/open?id=1PhQi8uXzkrLvXOO_Aiitf2YUekSt7y-a, https://drive.google.com/open?id=193it1xmyAoTgJDNWu4dEDcyc762egDai, https://drive.google.com/open?id=1chUU0s9492JHMcmOMUy1osFKlNFmxT0n</t>
  </si>
  <si>
    <t xml:space="preserve">Khách trả tiền mặt </t>
  </si>
  <si>
    <t>0961595005</t>
  </si>
  <si>
    <t>https://drive.google.com/open?id=1mKNH-55YFhK3E6gjFNXHgik0ftVI0UpU, https://drive.google.com/open?id=1nB6T20fuuo5P79BPjkj1xbYpdQkA3ifk</t>
  </si>
  <si>
    <t>Dl smart living</t>
  </si>
  <si>
    <t>0974017997</t>
  </si>
  <si>
    <t>https://drive.google.com/open?id=1Zde6goc4xIyCdoQj9sG0j6i-h6HvdOBS, https://drive.google.com/open?id=1hSvRM0Q-rI2fRasoFTCDQZjvKN23MXGZ</t>
  </si>
  <si>
    <t>Đã tt cước xe 80 k</t>
  </si>
  <si>
    <t>Mỹ lệ</t>
  </si>
  <si>
    <t>0902252178</t>
  </si>
  <si>
    <t>https://drive.google.com/open?id=1ooP7Lrqv29fu0yO_CKJLGfrrGK_OQ14_, https://drive.google.com/open?id=1hCNzpc_pVczghL6bTHGXGiLpmkdoJTaS, https://drive.google.com/open?id=1t71HQPAtkfYCyQ6gzkuqAkOSd3fcjYen, https://drive.google.com/open?id=1JXvTc0j-psYpwJp-TddtW-ZX4ittzwvg, https://drive.google.com/open?id=1Mp9S7PcnHBRjWTb0aXSYCt_MD26-nGK9</t>
  </si>
  <si>
    <t>Huỳnh văn ba</t>
  </si>
  <si>
    <t>0935614499</t>
  </si>
  <si>
    <t>https://drive.google.com/open?id=1f_gEku8k2g1De9Zpn6HVMQ61v3dA-Y0W, https://drive.google.com/open?id=10cuvWE_6adgLhX51T2uNpZv8bXWVKECm, https://drive.google.com/open?id=1vp0sEpJrEw6_9DAU7PczoZoKQrxGL2CN, https://drive.google.com/open?id=1dYa27mtQvWkJSCQeKqhvXzk4RfaOX2bh, https://drive.google.com/open?id=1jjdPaYDj1JUW7C05XzpeF4muEi0M1Tv8</t>
  </si>
  <si>
    <t xml:space="preserve">Chị giàu </t>
  </si>
  <si>
    <t>0949766010</t>
  </si>
  <si>
    <t>https://drive.google.com/open?id=1JFMh5nKB3P6Fk8ypfv8O3F47toACXyMe, https://drive.google.com/open?id=16u9b_KwiBsbW-N1tPxtiqg3gNCbYHVzo, https://drive.google.com/open?id=1W4BYua5I3aidNt7__VHOvhtFUxg2SFgw, https://drive.google.com/open?id=1Mb7oPkYWgbwmrp74Bu7g9umRhY1sMmFS, https://drive.google.com/open?id=1Q7JWG2RVva7pFV6ZLB4CAJVdfNbBQ0fm</t>
  </si>
  <si>
    <t>Khách thanh toán tiền mặt</t>
  </si>
  <si>
    <t>0906989390</t>
  </si>
  <si>
    <t>https://drive.google.com/open?id=11EA_nV9aZDPYDYWkjunSWB_tn8pufr6k, https://drive.google.com/open?id=1ZeLvIDJgOWKolZ6ihAiw80Ow6lYKLgfv, https://drive.google.com/open?id=1sL2e02aWGgW_bOL_pijnp09NsBDYW1bF, https://drive.google.com/open?id=1aHVEYgPEK2hbwjh1ZeS1XDFVf-BrxVAK, https://drive.google.com/open?id=1fUAfOXzcwT3rl6a4t6GWLVZuMcQLgwpC</t>
  </si>
  <si>
    <t>Chị trâm</t>
  </si>
  <si>
    <t>0945438558</t>
  </si>
  <si>
    <t>https://drive.google.com/open?id=1H72N1BdSOKd8JwP7KDHI_XzexWWhw0Cs, https://drive.google.com/open?id=1MgbUE_T1BcngmTAGWLmt55f9N9OGXdTI, https://drive.google.com/open?id=1T6TTj8SlkcGcJKq8SYNLiyu1qpkaitl9, https://drive.google.com/open?id=1ZQdsJrJ2gkTkxuO8SH2SnewKmatvZmmJ, https://drive.google.com/open?id=1rjaCocEEY_FYlkFEb3G2WbWNxWWUNRMw</t>
  </si>
  <si>
    <t>Lý</t>
  </si>
  <si>
    <t>0798789432</t>
  </si>
  <si>
    <t>https://drive.google.com/open?id=1mmwB3bAsPPiyb7petnX5D5cW5YHaeqFf, https://drive.google.com/open?id=1c6QgaOr0KfN7kjSG5WnsIv8-TJ70xPcv, https://drive.google.com/open?id=1ZOTtSAj22WHjT-pf7xi9Z3OyhkRLpUCh, https://drive.google.com/open?id=15eNoQRm0_9CwPCD-r8-LGH6GFK5Goo1Z, https://drive.google.com/open?id=1Ck5EeLJoQOy2sfCyPXcoWajy7OpT_xle</t>
  </si>
  <si>
    <t>Anh Long</t>
  </si>
  <si>
    <t>0904699119</t>
  </si>
  <si>
    <t>Lõi lọc PPCF Truliva Lavita CR5240, Lõi lọc CF Truliva Lavita CR5240</t>
  </si>
  <si>
    <t>https://drive.google.com/open?id=1nji4jnQf39cAgwQQu6NTHjgFwMDQaBkr, https://drive.google.com/open?id=1gAoHfcjR0NIRJlrCB8eZLI_Krp39dqUc, https://drive.google.com/open?id=1Cvna2Ya8EIHZSludr2SjrKxTKhXu51de, https://drive.google.com/open?id=1m9ZQlrgwDPeClPiyfwlqx0BvSelM9JTP, https://drive.google.com/open?id=10bB78z-YuQ8ddT0EDeIntovNrP9JYJJu</t>
  </si>
  <si>
    <t>Đã nộp tiền mặt</t>
  </si>
  <si>
    <t>0932088867</t>
  </si>
  <si>
    <t>Máy nóng lạnh treo tường Truliva W6412, Lõi lọc RO Truliva UR5840, Lõi lọc PGP Delica UR5840, Lõi lọc CTO Delica UR5840</t>
  </si>
  <si>
    <t>https://drive.google.com/open?id=1tQIzMOyuamzD9-I_CAUPdGL97s19iitL, https://drive.google.com/open?id=1avGmdyKw7wQioj93x6xE5NfjdVazP3hi, https://drive.google.com/open?id=1K26maQ4Zi0skJfK0wGK8kTLCGTXExsfg, https://drive.google.com/open?id=1GgTtN9KJVxtQcLNsSkzVHF7TFvYzMbF9, https://drive.google.com/open?id=1c6KLdJkK-bKxqBFPwPBkb5IB69ReujH3</t>
  </si>
  <si>
    <t>Kh đã thanh toán website</t>
  </si>
  <si>
    <t>Khánh linh</t>
  </si>
  <si>
    <t>0915356722</t>
  </si>
  <si>
    <t>https://drive.google.com/open?id=1WLc10VwRts8BHz7ihLWdMFm7abPl9YjO, https://drive.google.com/open?id=19_vV9ui-dnfSVf4zEq8bPeOtgGNtYMIB</t>
  </si>
  <si>
    <t>Trần thị lâm</t>
  </si>
  <si>
    <t>0984639079</t>
  </si>
  <si>
    <t>https://drive.google.com/open?id=1mWuWts2y2L1sYQMIlW7zsqZLmiCflG8c, https://drive.google.com/open?id=12rleJMahaVfxX7YWpJ7lXkjXSwZTt5n8</t>
  </si>
  <si>
    <t xml:space="preserve">Kiều Thị Vân Anh </t>
  </si>
  <si>
    <t>0385508492</t>
  </si>
  <si>
    <t>https://drive.google.com/open?id=1D36TMseZVTq4Z2J4DledDVw188gTv7fx, https://drive.google.com/open?id=1Qmp7kRczQXfLE9ccyLvJr7KIQD0NrMJz, https://drive.google.com/open?id=1F1MuJMgiPfQGeqjXWTmE_2YzB7c62gk5, https://drive.google.com/open?id=10Fbj02yEYAescfaUxisPhystwm7LItTf, https://drive.google.com/open?id=1okyGE1dXR1si_yiQQbKIEj-pQwm3bYEX</t>
  </si>
  <si>
    <t>Chị Ngọc Anh</t>
  </si>
  <si>
    <t>https://drive.google.com/open?id=1zNsIb9InaMvSyuQ0oMHFEXt6b4xDnxZs, https://drive.google.com/open?id=1QGRk9DsN0LnO9NjtbuY8j7GuEfz9PlSt, https://drive.google.com/open?id=1t2R82iA5bwPjJ8eDYe37JWPYYg__sjfL, https://drive.google.com/open?id=1VnBEVpjndF0CiywGuG2MFnA6Pmmm1rtn, https://drive.google.com/open?id=1ZsKHwCaP2-5bX5FcM7AGKXpQ8H8ZXM3O</t>
  </si>
  <si>
    <t>Cty giao. Ktv lap. Giao may loc kk</t>
  </si>
  <si>
    <t>Anh Quốc</t>
  </si>
  <si>
    <t>Lõi lọc RO Truliva UR61096H</t>
  </si>
  <si>
    <t>https://drive.google.com/open?id=1TJjteR3EJ14-5Y7pruwr9wFdg4zRITdv, https://drive.google.com/open?id=1bVlaw33wcUMf8Pn2nHb_Yfamt8C_SJrN, https://drive.google.com/open?id=16d33yjZOOyYNthczjaoBmRPArUlXTiu2, https://drive.google.com/open?id=1nxiB4DBwFE7vOzo1mfssw4bpQHuvxrKD</t>
  </si>
  <si>
    <t>Ship ro khách tự thay</t>
  </si>
  <si>
    <t>https://drive.google.com/open?id=1e4pYj_Pv1uZls71YeShB8wfWN6FW7QuN, https://drive.google.com/open?id=1WbwJ32lPQkL6WFOJjdKvH1bej9zrLogJ, https://drive.google.com/open?id=1QB9apiLN224pyCoBwIRiW3cyLiXzYk4B, https://drive.google.com/open?id=1WwNzRksJLqILWMO8SRTNXvJUwPiZ1D3L</t>
  </si>
  <si>
    <t>Thay bien ap, tien mặt 660k</t>
  </si>
  <si>
    <t>Chị Phương Trang</t>
  </si>
  <si>
    <t>0914398497</t>
  </si>
  <si>
    <t>https://drive.google.com/open?id=1nDHCe6Qsw3JzFAPHyjS38qu7t6Etouer</t>
  </si>
  <si>
    <t>0384117597</t>
  </si>
  <si>
    <t>https://drive.google.com/open?id=17Va3bih56GesHGCc3tJtj5BzRqkFsWDF, https://drive.google.com/open?id=1AjI7pFQTNJGaY-zQWtheqBW_c0w6Vn5K, https://drive.google.com/open?id=1me8KLlAeInUL8cezabHCWmQ3wmMO1j5C, https://drive.google.com/open?id=1G5PLd7PwxHWxB1cp629Ys2zXgbZSZcKF, https://drive.google.com/open?id=1ajRfe97AsV7FuM_FvVH69GG5pYva1AHD</t>
  </si>
  <si>
    <t>Anh Duy</t>
  </si>
  <si>
    <t>0983155227</t>
  </si>
  <si>
    <t>https://drive.google.com/open?id=1QVi6qJDtX8Q3O0geWik-ye9_6IkXbpm0, https://drive.google.com/open?id=15FOb5Djnl40c84rQ5_pj5nNUJDZ_B-yA, https://drive.google.com/open?id=10_Fll1S5Nm9x2451989gDFv1k6v0U4GB, https://drive.google.com/open?id=1s20dfr-BUmiYzt3zaYln0AuVZXuUGLKK, https://drive.google.com/open?id=1B1WjtqFU0khOhVW9m27v-yuJwsEdgbTJ</t>
  </si>
  <si>
    <t>Nguyễn Thị Phương</t>
  </si>
  <si>
    <t>0938664762</t>
  </si>
  <si>
    <t>https://drive.google.com/open?id=1Ts8tCair5rhy7Lgia7-YaDpfhLw5DNTQ, https://drive.google.com/open?id=1AxAXfvbZ3XPJq7posvAufIniiuWNdsvw, https://drive.google.com/open?id=1RGVst6IGVHhGQ3mQoPsngdp__D8Grlq7, https://drive.google.com/open?id=18ZJ5dQ8q6jtkVXYkgoLGdkOMatL8-bLf, https://drive.google.com/open?id=1qhSwiI0qzx0FhUzQK4JSD2T9mKxvqzCj</t>
  </si>
  <si>
    <t>Chị kiều</t>
  </si>
  <si>
    <t>0909099822</t>
  </si>
  <si>
    <t>Lõi lọc PGP Truliva UR5676/UR5640/UR5440, Lõi lọc CTO Truliva UR5676/UR5640/UR5440, Lõi lọc RO Truliva UR5676/UR5640</t>
  </si>
  <si>
    <t>https://drive.google.com/open?id=1Jnfsg82-fCcIulGAxU0Nhc093u5hJe3X, https://drive.google.com/open?id=11f0kM_4HjjkOhrldxbcMZfNGBz0tHh7g, https://drive.google.com/open?id=1QD_llHIMiMPAZeh6-xRDe5dyQjHZaFtj, https://drive.google.com/open?id=1GyMPsXPuA17X-Q8DK_AfUbIDxp3ADWtR, https://drive.google.com/open?id=1Iy6z5e2mzkbOIBqZijLtpGkLosTtSdHT</t>
  </si>
  <si>
    <t>Dương mỹ kín</t>
  </si>
  <si>
    <t>0907363388</t>
  </si>
  <si>
    <t>https://drive.google.com/open?id=1Rh3ILS7aNHa7UupaUPAV0qXWim6a2p-y, https://drive.google.com/open?id=1XcUCvtOWrdTZ-94PSxpQ7I0Q4jZ3s7aH, https://drive.google.com/open?id=15InKeFRgbBWOtOFy57ppqj0oN4YzDxxu, https://drive.google.com/open?id=1Rpyhi_wO_xIQEb2OoPa6Y15K0H6nOCLc, https://drive.google.com/open?id=1sDznZu5QP2-968wUWBNitPCQZbvb84RX</t>
  </si>
  <si>
    <t>Anh Sơn</t>
  </si>
  <si>
    <t>0902568750</t>
  </si>
  <si>
    <t>https://drive.google.com/open?id=1M7c0_Goxtb7uZKngK6y8SUs7sSBZms-k, https://drive.google.com/open?id=1D6u8OCItw5W-GaqtYzYU4sQ5TIeXIbR5, https://drive.google.com/open?id=1weCgu9g3Qb5H-Ay_4iKjLFsKc89yxS1h, https://drive.google.com/open?id=1MDZqqkaGtCt_1dLt5jhQylwWvcxuNLuH, https://drive.google.com/open?id=1aB6BIxXTUS_8xaaZH11kJe4FcTdzrB45</t>
  </si>
  <si>
    <t>A Gvin</t>
  </si>
  <si>
    <t>0906353060</t>
  </si>
  <si>
    <t>https://drive.google.com/open?id=1tGYgUWEHcia20-GpAKXxBTbUkx3H1ArX, https://drive.google.com/open?id=1GyYR8j3eXPw2yunNjKv8BKH7iHlAuKTZ, https://drive.google.com/open?id=1eNX2MYFbYkHxbtYRKpdyxwFbm-OJVrwf, https://drive.google.com/open?id=1DxmrFaDQdt3tPPA7ALmYaePk1ovHcd3P, https://drive.google.com/open?id=1cw1zAWi8Df9EjQ3egusRHCcLxnfowQ88</t>
  </si>
  <si>
    <t>Giao lap 61096h</t>
  </si>
  <si>
    <t>0973557808</t>
  </si>
  <si>
    <t>https://drive.google.com/open?id=1OWQZwFdtNsINtn0wi5Sya4Gz4iPre61K, https://drive.google.com/open?id=1nLL248ay-oxxC5sVduR9YoFF14pyH-Om, https://drive.google.com/open?id=1xQWb4gfSnbOM4e0T4iuy8ibaqAoZIThA, https://drive.google.com/open?id=10ODe8QXslJk7YhUJQ8DH8ApTAiYb67GB, https://drive.google.com/open?id=1mZbP7YutM7HxtnEoGeIMoO4tmqmCdGvO</t>
  </si>
  <si>
    <t>0933728812</t>
  </si>
  <si>
    <t>Máy lọc không khí Airplus KJ260, Máy lọc nước Truliva UR5676</t>
  </si>
  <si>
    <t>https://drive.google.com/open?id=1cse0Y_Rsl5n2TpqV-rIM3W0vwTpfmKI9, https://drive.google.com/open?id=1KZqMC0bLF1jgNMH-f0TRYRQy7tp5fBxH, https://drive.google.com/open?id=1BZJ_ev1DamyEQBQqvTEMEFVeGvFVCap5, https://drive.google.com/open?id=1Dc3B4GUkalin3vAPjAVAELUr-rCAHPR0, https://drive.google.com/open?id=1Q3hFYkJjunsZ2wVbAneaH6o07B0nwljF</t>
  </si>
  <si>
    <t>Chủ nhật</t>
  </si>
  <si>
    <t>https://drive.google.com/open?id=1zL2aaVQ4HsD9n5VDCJFbSuuseiKwFHol, https://drive.google.com/open?id=1mh5FA3fH8cDABK4QBZ6L2qUcMderNtG-, https://drive.google.com/open?id=1h5FuNqW6XPW65hyq-0BSKp3lJIGAemJw, https://drive.google.com/open?id=1q62bugRKIfIxkSjQIm-enQ8DLmskJT9j, https://drive.google.com/open?id=1yChn3_ekQgPMGEE4s177BnrTHUkhtaax</t>
  </si>
  <si>
    <t>Ktv Làm chủ nhật</t>
  </si>
  <si>
    <t>Chị Nhàn</t>
  </si>
  <si>
    <t>0901678992</t>
  </si>
  <si>
    <t>https://drive.google.com/open?id=1Y-ALypAFVDxmT2hq_tKySGWS32vTG9Wf, https://drive.google.com/open?id=1B4Clyh7h_6-fYlRyl4GXw8zS2BHmJaiJ, https://drive.google.com/open?id=1VYvdlJIz36_s0YPDM48Cy_6t4chI4e6p, https://drive.google.com/open?id=1eKI7_0R6T1ebSPWPrs5xpVK_8mQ3QaPZ, https://drive.google.com/open?id=1lPQ7gdNHtUZrpC-8NRnppuULaOXJKzua</t>
  </si>
  <si>
    <t>Anh Đồng</t>
  </si>
  <si>
    <t>0915372345</t>
  </si>
  <si>
    <t>https://drive.google.com/open?id=1kNZ3CBpCwFkQqoyyxHam2Rbtv9mWiwHH, https://drive.google.com/open?id=1rWYLMrzaUYb0kuinaXcFd236Dlka5XWP, https://drive.google.com/open?id=1KJjsL7JUsTo0gFZkwI5h8kQ02nwQrZ_W, https://drive.google.com/open?id=1w8MD7h2MKiVg6hcBftWyz1sz5ODeWX3h, https://drive.google.com/open?id=1nHMpoaPZ0TXSFYoOF-FqxynAXGFxAKgp</t>
  </si>
  <si>
    <t>Ktv bán máy</t>
  </si>
  <si>
    <t>Chị Trâm</t>
  </si>
  <si>
    <t>0984112640</t>
  </si>
  <si>
    <t>https://drive.google.com/open?id=1MXlJtALmQi6b4hy-mcqUxp4sGZwYWeEB, https://drive.google.com/open?id=1_Fcfe4vk3jEG-Zavvlk0T0nOrPaVkZlg, https://drive.google.com/open?id=1JxWzWRszm8NFYN25HxmEOknKVBLPqLEA, https://drive.google.com/open?id=1tZ9PgHG2ZUeo_N-rudciEpv5WKFmeUmG, https://drive.google.com/open?id=18DuYJdO9UnC88HztfPsKdw1Ws9B2qPu_</t>
  </si>
  <si>
    <t>Anh luận</t>
  </si>
  <si>
    <t>0913809822</t>
  </si>
  <si>
    <t>https://drive.google.com/open?id=16uX6xcQAWahGSv55Y08_92_Yrl_tbjV-, https://drive.google.com/open?id=1DBLMRttfJvj9deeCBIo9Phqqoxkv14FF, https://drive.google.com/open?id=1UwlyRTgACZLX1BbJdbTcRwzUJyh7AG93, https://drive.google.com/open?id=1tAglIvPkyaNiXgUJWPlmWwN5B6zzsc-F, https://drive.google.com/open?id=1GwJsxJ0HFBgRqEZLfKXmEZYgCokP2eg1</t>
  </si>
  <si>
    <t>Ur5440</t>
  </si>
  <si>
    <t>0395683866</t>
  </si>
  <si>
    <t>https://drive.google.com/open?id=1t98ac0TOPzpmnD1ZFhfcRrUpr0378sdW, https://drive.google.com/open?id=1s1odaDmRWS2jjD8QJmMs8luLWUNEXvxf</t>
  </si>
  <si>
    <t>xxxxx</t>
  </si>
  <si>
    <t>0983398668 chipdane</t>
  </si>
  <si>
    <t>0983398668</t>
  </si>
  <si>
    <t>https://drive.google.com/open?id=1q6m5j6_d2gjL1QLWvceeuuptg3NSMKe_, https://drive.google.com/open?id=1WGkNdacfqY9IpAXxqTsUIXSqQ3px32SD</t>
  </si>
  <si>
    <t>0333225119</t>
  </si>
  <si>
    <t>https://drive.google.com/open?id=1UDsVUfDqq3AMXW1MdcnRTPGvK-f5PtDV, https://drive.google.com/open?id=1dnqR8CfkJoa8vzgf73YhrrHVPIAKgayr</t>
  </si>
  <si>
    <t>A tú</t>
  </si>
  <si>
    <t>0338669999</t>
  </si>
  <si>
    <t>https://drive.google.com/open?id=16qF0RA3FsUZvqtb8MCbWl7932GZlg96K, https://drive.google.com/open?id=1z7fy3i3TX4YNxm1qiyTtAQKhmxqK_r4Q</t>
  </si>
  <si>
    <t>https://drive.google.com/open?id=1pLfQzyRF_DN6qLob3sTfcCdtLNOv0UB3, https://drive.google.com/open?id=1YP9O6pcsY-mKtQ2k6rSCsvVOFc52hlq9</t>
  </si>
  <si>
    <t>Đã giao hàng tt cước xe 105k</t>
  </si>
  <si>
    <t>Bình nguyễn</t>
  </si>
  <si>
    <t>0975550407</t>
  </si>
  <si>
    <t>https://drive.google.com/open?id=197nbLi9bI0UqYl-nK7H8Wdir74xDVCj4, https://drive.google.com/open?id=1OInzpl7cT2R61wOIine9yln0Z3JNUWDb</t>
  </si>
  <si>
    <t>Đã giao vietpost</t>
  </si>
  <si>
    <t xml:space="preserve">A hoài de </t>
  </si>
  <si>
    <t>0977323959</t>
  </si>
  <si>
    <t>https://drive.google.com/open?id=1cYH4LM19pLU-J5ZWVpCYWBsby9mTI01O, https://drive.google.com/open?id=133Bz23PZzrpDGPcguw86pDxYEgL_FfUR, https://drive.google.com/open?id=1SvqsoTtVaAXUNWoYiDV65q2PiNxTk6y7, https://drive.google.com/open?id=1i3pc1_RzrjQrvkzTpddyFuHMohJavPVa, https://drive.google.com/open?id=16RksHsiGK7wIHMWKNm56JcKnQsMn0OZN</t>
  </si>
  <si>
    <t>0905514284</t>
  </si>
  <si>
    <t>https://drive.google.com/open?id=1t6aoFDkhVy3i-7FQNH1zwVNvlzJ43zpI, https://drive.google.com/open?id=15seoSvDhO5YnP_sUw9ZOHK1fjOj30shN, https://drive.google.com/open?id=1YWZkmlwe4Xs-76pk5jwBrgy1pQdZU_QB, https://drive.google.com/open?id=16GAtT2x1w4uLVh_HPFDZSEZNrLmLxkHs, https://drive.google.com/open?id=1hWyNAYbNtbL1gH3lwCriPBSQKgZJkkOA</t>
  </si>
  <si>
    <t>https://drive.google.com/open?id=1fhULGKGFUcFEJyxfo8R6SS5q6ZEvpE3Z, https://drive.google.com/open?id=1paSMYjCQj4USalgDptD4qS72-TOUIHPV</t>
  </si>
  <si>
    <t>Đã tt cước vận chuyển 171k</t>
  </si>
  <si>
    <t>https://drive.google.com/open?id=1SzDUW6TK7PZmRcjnc1sHfk4_bhHRw2Va, https://drive.google.com/open?id=1n7Vq-pvG6cA5wim4Uczc2xrZY-uv0-U8</t>
  </si>
  <si>
    <t>Đã tt cước vận chuyển 110k</t>
  </si>
  <si>
    <t>0937668666</t>
  </si>
  <si>
    <t>https://drive.google.com/open?id=1cR8hmE1ZyxQKtTYTYU5MYKA_TMiJ2naD, https://drive.google.com/open?id=1QC3C_mgIAipuuiHVRccpdhq6gu8jdoj2</t>
  </si>
  <si>
    <t>Anh Chương</t>
  </si>
  <si>
    <t>0936220676</t>
  </si>
  <si>
    <t>https://drive.google.com/open?id=1Lo953kLJF8v23Tbi5JAguoD96xv6qDVR, https://drive.google.com/open?id=1e08pT0bmbbGUWTbYwEW8VSZXfYjDs7e6, https://drive.google.com/open?id=1ZB2qF17CXy70lMYikryk8Hkcbro_4uPh, https://drive.google.com/open?id=1MtZhsGbC-gbnfXjmFwt4q5ZKYrV6LRDz, https://drive.google.com/open?id=1oOL56JMgfgAFSrp0DR0SsYuJflepsWeN</t>
  </si>
  <si>
    <t>Lắp theo yc k.h</t>
  </si>
  <si>
    <t>Carter pícopo</t>
  </si>
  <si>
    <t>0362952123</t>
  </si>
  <si>
    <t>https://drive.google.com/open?id=1E87LjreN0GevyUX1EgyrbvGbd29-_kLA, https://drive.google.com/open?id=1e1Gt6lEIp9y0eVZH65glJRENOn2D7SGA, https://drive.google.com/open?id=1Gl6lydSXDN53CMFB9s5Ez-xglP4NC9Qc, https://drive.google.com/open?id=16GUXtfstABJBzNWztlqR4xPcB05oLLtH, https://drive.google.com/open?id=1Vs0VYNNNAYbmgCevY3EoR6ZZbcId7CAw</t>
  </si>
  <si>
    <t>Anh hoàng</t>
  </si>
  <si>
    <t>0989377499</t>
  </si>
  <si>
    <t>Lõi lọc PGP Truliva UR5676/UR5640/UR5440, Lõi lọc CTO Truliva UR5676/UR5640/UR5440, Lõi lọc RO Truliva UR5440</t>
  </si>
  <si>
    <t>https://drive.google.com/open?id=1gcex9yDGi-Xp_rAdzo5ElLL6tuf0XBmG, https://drive.google.com/open?id=1_PLpCOQyio3xke-w74AhQKQb6dG4JA96, https://drive.google.com/open?id=1s5XiqvImMEjQnfvX1MX0T8cUchH1bmp1, https://drive.google.com/open?id=1HEA2wd3-6_-KT2Mj1muK7efQSfDA43eS, https://drive.google.com/open?id=1VATphGgyPJB0iY_fbX70mgy9MFDfoCmt</t>
  </si>
  <si>
    <t>0918548111</t>
  </si>
  <si>
    <t>https://drive.google.com/open?id=1P9czx-tL7_yd9UiCDh_mr6CYJsiVCKOM, https://drive.google.com/open?id=1d4tv3KEmZ0D7XF4jIAwthfkfHLQdOzF8, https://drive.google.com/open?id=1T9SrmyYBzIXWx4Txsz_zaRsjE4AfKOck, https://drive.google.com/open?id=1gFJwo8qEedn3pfyMk4SjYSYOmnAUyfqn, https://drive.google.com/open?id=1eARDLxlMZKNyXVKi_e_eANTZgh6Y88Ij</t>
  </si>
  <si>
    <t>0373054584</t>
  </si>
  <si>
    <t>https://drive.google.com/open?id=1bIJ-mG5LqeHKjJIAlO9G-KVIJnL9LJhl, https://drive.google.com/open?id=1588R97AYfOMh0lb9P7afU5ddaotzp0XJ, https://drive.google.com/open?id=1Dq0arXi_jdu_n4acJJIbI0niZhWvHapV, https://drive.google.com/open?id=1k95_8KVCS8KEKl1W7C4AMnaqQiZfmwCn, https://drive.google.com/open?id=1paijuhu_HaRd1_ZrmpRF0RIuCtj40Rim</t>
  </si>
  <si>
    <t>A dinh</t>
  </si>
  <si>
    <t>0328439069</t>
  </si>
  <si>
    <t>https://drive.google.com/open?id=10qvNm_b-1v0S3HmqW-IhVQRJw4MR5R0y, https://drive.google.com/open?id=1jP-j5gdgGZeE_rKsTxK-tPmL6LWl5Y2C, https://drive.google.com/open?id=1NtwhPYikDCjkZQXAQ90B2WE0NbX1dxbP, https://drive.google.com/open?id=1L9c1mFu9fnYDhyNUh21nPSeacfKh--MH, https://drive.google.com/open?id=1T64hd8lnFWGUi2iJjqt5T-fElG0gGSka</t>
  </si>
  <si>
    <t>A Chiến</t>
  </si>
  <si>
    <t>0359868888</t>
  </si>
  <si>
    <t>https://drive.google.com/open?id=1RNORLeQsdwL9SDZQy9e7EKOOmX7eEyti, https://drive.google.com/open?id=13_PhsnIcE47QGjg0xfENDkpzYhUNhCMv, https://drive.google.com/open?id=175uHeu7YasfGKxQflAIgtGWF0SKPr8uy, https://drive.google.com/open?id=1OxhEsIEZV94xk53ySPQfK-5vWO3GheDG, https://drive.google.com/open?id=1iB3MITfK9t4_zvNAsV4lCWa4HYpWd5xr</t>
  </si>
  <si>
    <t>6.2</t>
  </si>
  <si>
    <t>Ms Hồng</t>
  </si>
  <si>
    <t>0327456374</t>
  </si>
  <si>
    <t>https://drive.google.com/open?id=17A9Khpr3W28Hx-LVqld1F94i7i_HIF9G, https://drive.google.com/open?id=1mv9jV-zoDZnHkXlm3bDimji7gtx3p4MB, https://drive.google.com/open?id=18yyQLK89-w5ugrGU0_bsWoAP0ItEkryv, https://drive.google.com/open?id=1n6aRM_cE62bcd3eDi1XQldbZVIq_TceR, https://drive.google.com/open?id=1KW4RTIQ8z5ODUdLvVtepmd1B5v1EJCKP</t>
  </si>
  <si>
    <t>Chị na</t>
  </si>
  <si>
    <t>0913609559</t>
  </si>
  <si>
    <t>https://drive.google.com/open?id=1gm6aziYtqVXfRFWf5B-QiJTEIgcXykbw, https://drive.google.com/open?id=1rBm2OALaX2Z5hiJLbTvN0tpZ3sJ_dyF_, https://drive.google.com/open?id=11mboTedJYrigT6qiKHFEx0C3LFQBWHsQ, https://drive.google.com/open?id=1ESoyxBsj2h90GYLZZ04Yd892L9zW6yzQ, https://drive.google.com/open?id=1-vC4-S08Urrg72VVuJP1cq-B9M8D4ESI</t>
  </si>
  <si>
    <t xml:space="preserve">Chị hong </t>
  </si>
  <si>
    <t>0818510365</t>
  </si>
  <si>
    <t>https://drive.google.com/open?id=1cRXrhJgpbUX2D3nGW2YC-pWI8bESOWlw, https://drive.google.com/open?id=1ODGaWypozGN2_87PYRsvVPqQKLzOjn4R, https://drive.google.com/open?id=1WIsFbRfK2isBHZA3gXi_NB5SOAd9Dt86, https://drive.google.com/open?id=1Xh8UBBrEMs5Rrs6Jdlx2c_3M473YSqo9, https://drive.google.com/open?id=1fjAWX37prvcRrElyq0m9siV6JgCGDcQN</t>
  </si>
  <si>
    <t>Thay pgp va cto 
Hoàn thanh lúc 18h</t>
  </si>
  <si>
    <t>E ngọc</t>
  </si>
  <si>
    <t>0906261560</t>
  </si>
  <si>
    <t>https://drive.google.com/open?id=1MO9J3_xLBGXTtufn_y8O1T70mXLG6fKe, https://drive.google.com/open?id=1jbXO3TljyU4vFpabnBUtWdnxO2OJMR8j</t>
  </si>
  <si>
    <t>0978720663</t>
  </si>
  <si>
    <t>Lõi lọc RO Truliva Lavita CR5240, Lõi lọc PPCF Truliva Lavita CR5240, Lõi lọc CF Truliva Lavita CR5240</t>
  </si>
  <si>
    <t>https://drive.google.com/open?id=1FMfhZ8sPnpkauB1Ea1abM9xsrs2u_iCl, https://drive.google.com/open?id=1gVk_kU07Cru0-7x2C67hAeeHDFCSyLU0</t>
  </si>
  <si>
    <t>Cô bình</t>
  </si>
  <si>
    <t>0912359104</t>
  </si>
  <si>
    <t>https://drive.google.com/open?id=1vRpt9WgGS3UEbOVXfhGUBURpr2N49BkF, https://drive.google.com/open?id=1R7theeKvV-b5JjtZWlUpK81LB0CwnLLI</t>
  </si>
  <si>
    <t>Cường sơn tây</t>
  </si>
  <si>
    <t>Lõi lọc PGP Delica UR5640/UR5440, Lõi lọc CTO Delica UR5640/UR5440, Lõi lọc PGP Delica UR5840, Lõi lọc CTO Delica UR5840</t>
  </si>
  <si>
    <t>https://drive.google.com/open?id=1XLs48DiKyGw1lH9T8rhKIZ7mtIXyU_2Z, https://drive.google.com/open?id=1E_LLLj5qK7agyv-2zicVzEIGxUWOF3es, https://drive.google.com/open?id=1GJ70PM806wBysQRx39FBJ025GryF6eb3</t>
  </si>
  <si>
    <t>Đã tt cước 49k</t>
  </si>
  <si>
    <t>https://drive.google.com/open?id=1ECypyjf-unfTAYaqxWw5XhCJyQDsLF4X, https://drive.google.com/open?id=1zU9oKUVPXO26EfqSAla3-v0D_3uWfeFf, https://drive.google.com/open?id=1SQyGRvpA7F03_k1syv6c5CprRaVqIxpe</t>
  </si>
  <si>
    <t>Đã tt cước phí 105k</t>
  </si>
  <si>
    <t>Tình lê</t>
  </si>
  <si>
    <t>0397141098</t>
  </si>
  <si>
    <t>https://drive.google.com/open?id=1S1LslG1LkikVGts4i_xr9W0OmC8TLks0, https://drive.google.com/open?id=11I_8IWEHJpkOIdnoMJVCquAEbc1dJ-KG, https://drive.google.com/open?id=1sow4HMUU-3EZ8OMaOP7TPPFd0TziUwy-</t>
  </si>
  <si>
    <t>Chị trúc</t>
  </si>
  <si>
    <t>0909714234</t>
  </si>
  <si>
    <t>https://drive.google.com/open?id=1cSmA8VC_tzQi-CZs55iwzZrZj7E-nhDC, https://drive.google.com/open?id=1KTstcYKXfMnsKetlgbsxB9H7sT7ur3YO, https://drive.google.com/open?id=1hOP6VvwCnD4Wa7e3MNZTelzCstkcobeG, https://drive.google.com/open?id=1fqDqDB3bkVeO86WcZ_KFJsRRxtUu-Bha, https://drive.google.com/open?id=1kto7QpoHGfhFAWOGV9fMVy25wdtZvLrS</t>
  </si>
  <si>
    <t>Nguyễn Thị Anh</t>
  </si>
  <si>
    <t>0366026016</t>
  </si>
  <si>
    <t>https://drive.google.com/open?id=1wghjikXk2IYiOeiJ_RGr39Oe6PX4eY7r, https://drive.google.com/open?id=1xePMSIZFlz5W6Uz0IHrHftcSoBTDOqow, https://drive.google.com/open?id=1lq1xNLRZ6xhW7RvHE3zrZF2k6pLXTw-L</t>
  </si>
  <si>
    <t>Giảm 10%</t>
  </si>
  <si>
    <t>Chị sen</t>
  </si>
  <si>
    <t>0974313270</t>
  </si>
  <si>
    <t>Lõi lọc PGP Truliva UR5840, Lõi lọc CTO Truliva UR5840, Lõi lọc RO Truliva UR5840</t>
  </si>
  <si>
    <t>https://drive.google.com/open?id=1A5j-l2HXMLd0yhRdnhlOaZ-IaUlVfnHC, https://drive.google.com/open?id=1ZeuICPu7PreO76KZL955EYJWInJnQaD9, https://drive.google.com/open?id=1grfs52hRm3T4JaKLrPLQGGmskDN-XhO-, https://drive.google.com/open?id=1oGY5DesD75ABBy5As6ynQj_OVO7HdS88, https://drive.google.com/open?id=1tHhfzA00AEHCcuACSWbvOXkWDhLFmELd</t>
  </si>
  <si>
    <t xml:space="preserve">Chị thảo </t>
  </si>
  <si>
    <t>0933459687</t>
  </si>
  <si>
    <t>https://drive.google.com/open?id=1MVbdSSnXl5qX2PuWwhq9iJ27yBCPA629, https://drive.google.com/open?id=1w6IHogg-6UAVRzHbfh_h1B4IYER2sFuq, https://drive.google.com/open?id=13S4XVxRfwMX8nfrd7MU2N_fv4_Fc0L4g, https://drive.google.com/open?id=1UTAxY7eNEczWe7iMk_PFSSckn11D8j-C, https://drive.google.com/open?id=1Z0nA1cM9KR8CQM3de-_PgYhE5MIsRJXZ</t>
  </si>
  <si>
    <t>Khách trả chuyển khoản</t>
  </si>
  <si>
    <t xml:space="preserve">Chị Phương Trần </t>
  </si>
  <si>
    <t>0931121193</t>
  </si>
  <si>
    <t>https://drive.google.com/open?id=1wDKEyLpNS_NEOSd9BBZSNmMid7olNhR9, https://drive.google.com/open?id=1xsCuvxTyKI1RoIRCKLW29nOPFuqN5zQi, https://drive.google.com/open?id=14cNiDXMNQZPDMlRSm-DiIIW8Gnr5VOpr, https://drive.google.com/open?id=1Gv4d0ISEKxdKE8nuAsPYHCjSMBvjChZ5, https://drive.google.com/open?id=1FPeXmUgK8-dRBsbo0W8Hr9--tDa5WmF0</t>
  </si>
  <si>
    <t>0931187829</t>
  </si>
  <si>
    <t>https://drive.google.com/open?id=1Z9wBube2WD07hFRH5QYMO1AfFoxTzdPo, https://drive.google.com/open?id=13_LBUq1G42sO69DTEGiWQwx7MfBff_CH, https://drive.google.com/open?id=1Z-Dw7Tr-HfELgXTqgkVa-CGtZh8qGX5Y, https://drive.google.com/open?id=1UEsD67oauqjTAoeq9ZuuzMEZ6J3ODA7D, https://drive.google.com/open?id=1JRcEGnpgsLPS3y_davyPs_MCJEWS_r9U</t>
  </si>
  <si>
    <t>0906869229</t>
  </si>
  <si>
    <t>Máy lọc không khí Airplus KJ260, Máy lọc nước Truliva UR61096H</t>
  </si>
  <si>
    <t>https://drive.google.com/open?id=1yn2fo0jCogIP-nuzV0G18tIJCxgmeriF, https://drive.google.com/open?id=1qddcqsSV-jkxbjZM1R4-aVJNl9jcVuKr, https://drive.google.com/open?id=1zr3YXCTTSR1wjV4EGPL4Ppp99o-kqQV5, https://drive.google.com/open?id=19l1oYSaw0gdcMFEnPf8FZvs1gAN1shrR, https://drive.google.com/open?id=14633CtEH8mxz4y2hcklMa6I7JDlXq4vN</t>
  </si>
  <si>
    <t>Tặng thêm bình locknlock kh trả tiền mặt</t>
  </si>
  <si>
    <t>Trương Vĩnh Bảo Toàn</t>
  </si>
  <si>
    <t>Anh Diện</t>
  </si>
  <si>
    <t>0988447576</t>
  </si>
  <si>
    <t>Vĩnh Long</t>
  </si>
  <si>
    <t>https://drive.google.com/open?id=1YromifA3gzXf7AUchIwTZFtqfgVghF7m, https://drive.google.com/open?id=1RSdZgSqvi1Cd3aAt1lcizvJVtGzUSRSY, https://drive.google.com/open?id=12SBRFmne4YZ0pmdoq0m35E_nl-JGPNyp, https://drive.google.com/open?id=18XxErCSt-Yy4rKs-K5i3GW89hDbzqD7h, https://drive.google.com/open?id=17JJNTfJWe-K8RFKeoWEdWqXSEAwagD1N</t>
  </si>
  <si>
    <t xml:space="preserve">A khanh </t>
  </si>
  <si>
    <t>0357147296</t>
  </si>
  <si>
    <t>https://drive.google.com/open?id=1_3pFDL508qR4Jfdn6XiXbucaP7ZX7b5p, https://drive.google.com/open?id=1juNj0Fa6xqPXC43vGv2hlEp_voyz7KR4, https://drive.google.com/open?id=1OSLKNPRb3t5bx8_q8AJfNNmXJbyMpxpN, https://drive.google.com/open?id=1DtMrSnvt3sS2yOE1A6hCszRaQM6znMOR, https://drive.google.com/open?id=1KQS3Py61e3Foml8p-6x37jQ-GBQQMnWn</t>
  </si>
  <si>
    <t>0917859958</t>
  </si>
  <si>
    <t>https://drive.google.com/open?id=1BOQX4NuHzZ5RxGSpPIz84alO_eNSIhQA, https://drive.google.com/open?id=1AT0paUG7iMTihf5U9nEOs64o-qFPm0hY, https://drive.google.com/open?id=1Vy6kyKD339jO4n59xivXEX3Jr_4rAFLV, https://drive.google.com/open?id=1jXlH8tyoNZGWyLDEI_N-e_yFXI3Ff3iQ, https://drive.google.com/open?id=1r7vZnDfEblDC_S6gA-TX3etQp4GhDvkv</t>
  </si>
  <si>
    <t>Thuỳ Trang</t>
  </si>
  <si>
    <t>0903477374</t>
  </si>
  <si>
    <t>https://drive.google.com/open?id=1a6iEEcO1KT1GYLOgIRqVZMWWwnJPlnaq, https://drive.google.com/open?id=13Kpg3q73NEj-76ohwKlYFT_s4G2aJhBO, https://drive.google.com/open?id=1vDm1a58LoAyDdLxwNIwCtSq8zrvqLKyG, https://drive.google.com/open?id=1dj-Iay8nK-Th_wvBkpFtMgPD9I1uyGsc, https://drive.google.com/open?id=13fuDCmq_tMtEwh7Jmk-CbjZ4MsNZFLZd</t>
  </si>
  <si>
    <t>0909888347</t>
  </si>
  <si>
    <t>https://drive.google.com/open?id=1JzZaJ18uI1BvQULemYI9cha5YU1gV2g8, https://drive.google.com/open?id=1xN7nFAPg9BfsfTrirsnmFcat52BqWJ-U, https://drive.google.com/open?id=1boj14Z_IhnFj7oKRZxhOCKwgEWLjqEML, https://drive.google.com/open?id=1aB3TgeorOCUdCn1IjAfDx6ONGNurvY73, https://drive.google.com/open?id=1EDI_mNUiKCkLgwBYtI_AwUuDr22cd8RW</t>
  </si>
  <si>
    <t>Thuý vân</t>
  </si>
  <si>
    <t>0943096668</t>
  </si>
  <si>
    <t>https://drive.google.com/open?id=1wnSGATBRV8dTmhE41pTaj6VaxxwYxRSM, https://drive.google.com/open?id=1yjTyQvSVYqzPHPu6o5icUQDpOuBKWaoz, https://drive.google.com/open?id=1T_L8exocvTZsLFFVHNU5gukTW4FOs1Ak, https://drive.google.com/open?id=1ryyQYiOTEEuBic3Y8mKIui3mzVlxxXhv, https://drive.google.com/open?id=1SLkuXOB3wUoWrDOYYo1UEqOTqxNmLBX8</t>
  </si>
  <si>
    <t>Ship lọc 20.000 nghìn</t>
  </si>
  <si>
    <t>Chú Lâm</t>
  </si>
  <si>
    <t>0772918716</t>
  </si>
  <si>
    <t>https://drive.google.com/open?id=1xlLA34oCkFZIIvcRkU1cZGcrRTAhf0fc, https://drive.google.com/open?id=1q3h6t-cUb3fAUL0YZFt8-c8-aWra_oMC, https://drive.google.com/open?id=1vvsW-IoA2YGgO684mBTj2cK7rx-U4QT7, https://drive.google.com/open?id=1kkz2vOmowpPp-2Oj0i9SL2XlB1WKnexJ, https://drive.google.com/open?id=1FihSXhBinqlfa0iw7QiPewUGQBjjd78H</t>
  </si>
  <si>
    <t>Anh Đạt</t>
  </si>
  <si>
    <t>https://drive.google.com/open?id=1H86VhhPsdI1tlFT2fYn9dBCtUkoJQUCp, https://drive.google.com/open?id=1GF_-CFUzYcUylpuBnQ9RkK26HBGiZiNS, https://drive.google.com/open?id=1GncZenQxqrYAHmrsEHQGFFupL6ZGy8dO, https://drive.google.com/open?id=1rdzEfjkJrAMa8UckfajenbUmfkCZJcWE, https://drive.google.com/open?id=1rXFKMH8IP9ZojSTDJLif_vKpnGS0n1Yv</t>
  </si>
  <si>
    <t>K.h ck cty</t>
  </si>
  <si>
    <t>Sa lam</t>
  </si>
  <si>
    <t>0777531851</t>
  </si>
  <si>
    <t>https://drive.google.com/open?id=1Oh7BDUX4f1XTdX2iLFLqerwW0rZE-VmO, https://drive.google.com/open?id=1glgHx8huu-SMi9EHB-lHVCgRt7nQhgcj, https://drive.google.com/open?id=1W6EsKB8FptdMFTZzNJe0iGoV8ODZIQUi, https://drive.google.com/open?id=1pxzFDYecGjAkdbWcnPZ3iVozqwg3Br9x, https://drive.google.com/open?id=17PQweqTP5VnMe12hYoPhY0cOJEf1ymvB</t>
  </si>
  <si>
    <t>https://drive.google.com/open?id=1R1PZ9Rlp5LUyTaf634KiMITKg-q1DSK-, https://drive.google.com/open?id=1PdwWDjV8t2Vz0m5Bb-A-HvxxX-k1tpwm, https://drive.google.com/open?id=1_9syrnZKjGaMlmutbo-WiPSoHsEfCtOq, https://drive.google.com/open?id=1FhbiJyxnYtCt9NJQLl2y7sAYE7BI4q99, https://drive.google.com/open?id=1y2guZxu84EQ7XA3Yyv2195TnjQ6OXZnS</t>
  </si>
  <si>
    <t>Đã thay vòi</t>
  </si>
  <si>
    <t xml:space="preserve">Chị Vân </t>
  </si>
  <si>
    <t>0919016407</t>
  </si>
  <si>
    <t>https://drive.google.com/open?id=1JSAMntk-aBohALyVMRX0lx65VdjwuLKq, https://drive.google.com/open?id=14LGRiCgybUfedkNk--lNF0WwRHtC5Zsb, https://drive.google.com/open?id=1wzxE1ahiKM5Al--S2vR52kCZIpFMCDy3, https://drive.google.com/open?id=175NzRBOisB9rlwEGND9ql8zbYBGyfJzp, https://drive.google.com/open?id=1InLn16dubDdFc-DaBAxfyeaiZdXZ1bQq</t>
  </si>
  <si>
    <t>Ngày cn</t>
  </si>
  <si>
    <t>Quang le</t>
  </si>
  <si>
    <t>0984857853</t>
  </si>
  <si>
    <t>https://drive.google.com/open?id=1wbT45lhjBs32cpYaDYTnen3r0vjhXjf7, https://drive.google.com/open?id=1ou3nuE6ZAczuWNgnY4_0t_u0CsXpNjq9, https://drive.google.com/open?id=1bzSVJr4SLuU01zTbiz3a6tuTQaYXQIzf, https://drive.google.com/open?id=1WN0I-cCTQ_8ULNrblF4P2F8za0zlFmff, https://drive.google.com/open?id=1YV9eFI3Gah9oJGdO_YnDnEwKrheVMF_j</t>
  </si>
  <si>
    <t>Đa ck</t>
  </si>
  <si>
    <t xml:space="preserve">A Dũng </t>
  </si>
  <si>
    <t>0903366925</t>
  </si>
  <si>
    <t>https://drive.google.com/open?id=1Y2wJnOoOxoc_HZGgkS3iLHo_VG9Gvauv, https://drive.google.com/open?id=1x3LFZJnyNAmhsVDnREpxo7YH_Jfjh8Z6, https://drive.google.com/open?id=1DgGdNa_wCNxUoyb3Upj_iWNkq28evD4c, https://drive.google.com/open?id=1WKyUcMZ1JWivqPGpebbFigul7VPB9wkE, https://drive.google.com/open?id=1xxGdKUTE8ZELt0CFk696QCtIZifJYo-K</t>
  </si>
  <si>
    <t>A Đức</t>
  </si>
  <si>
    <t>0916003736</t>
  </si>
  <si>
    <t>https://drive.google.com/open?id=11YDQX_ehwFrUQXyHa8K7Qa8KijP-M_of, https://drive.google.com/open?id=1ZZ_jfLN8ReUFjlSbum4-PXNozhsbwFsE, https://drive.google.com/open?id=1-IiHCxQ862fIluA006NdLtq9pa8qQ6c2, https://drive.google.com/open?id=1rzQicROwbpFA8aUKH901QP_o7eO4BgoJ, https://drive.google.com/open?id=1FHrX5IJBXzhYJ8-ISMl6CeevtDspT6P5</t>
  </si>
  <si>
    <t>Chị Nguyễn Mỹ Hạnh</t>
  </si>
  <si>
    <t>0798288525</t>
  </si>
  <si>
    <t>https://drive.google.com/open?id=18imZG2WB3pTIXEZsifpAiEHPuFpI8hmz, https://drive.google.com/open?id=1IPHqcH5ACoT1hk-gPcS_czangyio_LNB, https://drive.google.com/open?id=1zXorOnC4CdRLzEE002Bbsz0oMk3YopmJ, https://drive.google.com/open?id=19lMwdD-YpirnjODo2OnhRUxo15FWmzIr, https://drive.google.com/open?id=18w5j4Cfh6apokBVkf_csTsaMP4BVEiw8</t>
  </si>
  <si>
    <t>https://drive.google.com/open?id=1QwMBG36HTSVxZ4oKGcZeS7zqx-n5BYcA, https://drive.google.com/open?id=1R8G7CqT7-lZ-mwqToIch65uKg2-AWDfP, https://drive.google.com/open?id=1L2zjx6o-ssMLi9WZexZs3brq2gW8L4SZ, https://drive.google.com/open?id=1mHfJjuva7u6Wuza5qg4e1dPaH0d4kb-O, https://drive.google.com/open?id=1A8-PWs---Va6w1J4Ak0OBSZM37rqL65S</t>
  </si>
  <si>
    <t xml:space="preserve">A phuc </t>
  </si>
  <si>
    <t>https://drive.google.com/open?id=1KvVLQJIYVaJSQ5d67Z46o5SYhinIzDON, https://drive.google.com/open?id=1ry9QCVGaAIWOJG1eo8AsHv5BTtPKBISP, https://drive.google.com/open?id=11nVbQqoKODEEzs7INDJrMO8gMyaF0mZM, https://drive.google.com/open?id=12z-WP25erz4d3TmKDCeQqR4aLxigO8fU, https://drive.google.com/open?id=1tpepHT2LS6LwS75Zo-dIEthk7GEP11rc</t>
  </si>
  <si>
    <t>Thay loi loc</t>
  </si>
  <si>
    <t>Anh Hải</t>
  </si>
  <si>
    <t>0949453301</t>
  </si>
  <si>
    <t>https://drive.google.com/open?id=12AtNpo5tjQevqlgZHG9WhEC-bLP_GhZ_, https://drive.google.com/open?id=1PNYwqKE3i0nlz9XfblKB-ibY0Y6D9tf1, https://drive.google.com/open?id=1B8Nz2HmtTS5jMe2zjalvDO6D3V5INNef, https://drive.google.com/open?id=1Jo5QpuLZwZupBeUoTt5WKW9EXb6YIbYv, https://drive.google.com/open?id=1VkdHbSxJLdLbk526_gqQr45_EXwQc0nQ</t>
  </si>
  <si>
    <t>https://drive.google.com/open?id=1c0hZ31JGNx2cBJAOSJNrfkY-9M-98wSx, https://drive.google.com/open?id=1Nh0R2FjNZRrDcirJM4YogyCHDdK-0Ymn, https://drive.google.com/open?id=16voMwYkS1W-uVgl1_lhzTngwg1KyxyJv, https://drive.google.com/open?id=1U6vTpekjEQGrqYVOu1azeSAYutxkrh7x, https://drive.google.com/open?id=1KNCEp8MttMJR_YpRIcbBZxAD8P6GsxE1</t>
  </si>
  <si>
    <t>0942078663</t>
  </si>
  <si>
    <t>https://drive.google.com/open?id=1TDNICJd53JqERtWpOoqUcfhwbz8pC92p, https://drive.google.com/open?id=1X9rkAZ4AXR7mvn3zV3KsogzhCi0Zwa7F</t>
  </si>
  <si>
    <t>Phạm trung</t>
  </si>
  <si>
    <t>0949453333</t>
  </si>
  <si>
    <t>https://drive.google.com/open?id=1wen1sKN3ls70lpqp5ozoYyK1RKaQiENy, https://drive.google.com/open?id=1pn8ILOADcSP3PET2KbCdsQrqL_umsCsX</t>
  </si>
  <si>
    <t>Lõi lọc RO Truliva UR5440</t>
  </si>
  <si>
    <t>https://drive.google.com/open?id=1_waIA73TxOITMRZuh1WS8MoOgGw9f4Zv, https://drive.google.com/open?id=1yaVdutQXWYNlSqX-F-A-oGqN5pKKQjje</t>
  </si>
  <si>
    <t>Thay lõi Ro km 50% + thay cốc lọc U + lõi lọc ck 1350k</t>
  </si>
  <si>
    <t>https://drive.google.com/open?id=1rBnC1Uug8JOyslg87hK1JnaWTKx_LBo4</t>
  </si>
  <si>
    <t>Khánh trả tiền síp</t>
  </si>
  <si>
    <t xml:space="preserve">Anh Thiện </t>
  </si>
  <si>
    <t>0907726868</t>
  </si>
  <si>
    <t>https://drive.google.com/open?id=1kFtBiQp_keuwKdWOMeudw4Yj03sFk48R, https://drive.google.com/open?id=1YYUBIbF9ZChfOul7Zr7P7f3TsxcA6SXJ, https://drive.google.com/open?id=1Lh80jtnunPScgXQMZdT-Q0qzKHO5PAy7, https://drive.google.com/open?id=1POPro9w5UqjPVY7JxkqHU6eEs7y1fwgk, https://drive.google.com/open?id=1bseaH3XfcPYR0j4EMtjyxzIOVc9nN7Dl</t>
  </si>
  <si>
    <t xml:space="preserve">Khách đã thanh toán tiền mặt chi phí phát sinh cho KTV </t>
  </si>
  <si>
    <t>https://drive.google.com/open?id=1G5OQokyDOIfZEQl4NihZSp4ptvn4x65n, https://drive.google.com/open?id=1kX7GrRDukQU8l-f5D7_eKqkvHDBS2wsd, https://drive.google.com/open?id=18ESC6x17xxW1w0BmI3d57PDBf2qp2VOQ, https://drive.google.com/open?id=1b1DsHA8VsBoccV1ZR7FI7om2KwpDacYB, https://drive.google.com/open?id=1Qrylkp_m5IB5BBkVYI6aFI361EviBqfM</t>
  </si>
  <si>
    <t>0973737062</t>
  </si>
  <si>
    <t>https://drive.google.com/open?id=1a6hXI1TYUYSoZIphetAgFokV6PELV8Um, https://drive.google.com/open?id=1qyvL9DvB1isPExIvHHWWZR7bnW3MyAQK, https://drive.google.com/open?id=141xSGEo0laqDGGDc2mSCfDoAofaH9XJc, https://drive.google.com/open?id=1PExMzV_eN5miKLgViQdyFFqKjbwSaFXS, https://drive.google.com/open?id=12WP8_MnZs0RSPSAZ4PEwOUcajNr3-giU</t>
  </si>
  <si>
    <t>Hoài thu</t>
  </si>
  <si>
    <t>0902522222</t>
  </si>
  <si>
    <t>https://drive.google.com/open?id=1Ff4DSVgFSqP6RApdopttuDyLpOHS6Xl0</t>
  </si>
  <si>
    <t xml:space="preserve">Giao hàng </t>
  </si>
  <si>
    <t xml:space="preserve">Hồ thị thu thuỷ </t>
  </si>
  <si>
    <t>0366229146</t>
  </si>
  <si>
    <t>Lõi lọc RO Truliva UR5676/UR5640</t>
  </si>
  <si>
    <t>https://drive.google.com/open?id=1TwJTGe38r4Ou3G0CV0K1-Yy9SUhPwIHC, https://drive.google.com/open?id=1ju_IW9vNHjJmt8HM8w9LOHvDc0t7hA1s, https://drive.google.com/open?id=118MGBxJNUQB5OCFUhfFtOHbbNpqEQ9LB, https://drive.google.com/open?id=1vEctlS4X3nhc_sGOD0CrM_skIjT9yuEw, https://drive.google.com/open?id=1ZQPUUH9nhti48LxXE4jJMFeM2v5X3gr0</t>
  </si>
  <si>
    <t>0968970202</t>
  </si>
  <si>
    <t>https://drive.google.com/open?id=1KKjtwbDlmyJfRWTdaH211FiADItc9yL6, https://drive.google.com/open?id=1LTySsAr0KNYlpHx7IxdeZXENSsK_hf9n, https://drive.google.com/open?id=1kRUQYROpCROF4b1fHmWJEZzHYyADIjGw, https://drive.google.com/open?id=1kg8NTHokq2ukXNIOXl2TbWg9FGFNtk2O, https://drive.google.com/open?id=1Sw_32A-Z6uEDRFCF-li3xo6fPWsRO-jf</t>
  </si>
  <si>
    <t>Đặng Nguyễn Quốc Quang</t>
  </si>
  <si>
    <t>Trần Nguyễn Nhật Thụy</t>
  </si>
  <si>
    <t>0899730393</t>
  </si>
  <si>
    <t>https://drive.google.com/open?id=1ORbzDvn3kftDOON2Tlmetj5e3gYx2S-S, https://drive.google.com/open?id=1pdlg6sJF0TNsl42Bjyf7aFie_7hohiGB, https://drive.google.com/open?id=1HwKlvcGArU31DkJj1S6YZCRrWcijd81O, https://drive.google.com/open?id=1xbWGgPOo1EXQFDtPECXHjYxIfhtYEsdB, https://drive.google.com/open?id=1XfWgrUAlgQyoLLGB2dEE4OnL0B_nlObl</t>
  </si>
  <si>
    <t>0907890654</t>
  </si>
  <si>
    <t>https://drive.google.com/open?id=12FBJOgEKUISrbClQrSJwvvSI1bH0rpTp, https://drive.google.com/open?id=1gDF5I3lyWfHrW-3FLlyy1c1fLm0oDaFt, https://drive.google.com/open?id=10Mf8xMUrtU4yoUMDwmLca6xrHPJ1XXx0</t>
  </si>
  <si>
    <t>Chị Hân</t>
  </si>
  <si>
    <t>0906887160</t>
  </si>
  <si>
    <t>https://drive.google.com/open?id=1DjBiUZ9DadMKcVCLjiiHbZWRVAR25yWO, https://drive.google.com/open?id=1WRYVuU9WOWz9bESTeVL3JkKFxhnpkCr4, https://drive.google.com/open?id=1DHUicVO8DqNoTXQ5XeCpP-YQaGoAgOpi</t>
  </si>
  <si>
    <t xml:space="preserve">A Tay </t>
  </si>
  <si>
    <t>0949312793</t>
  </si>
  <si>
    <t>https://drive.google.com/open?id=1owbMhRVV-MZKvYbitaeM1ScLZ9dnuyaV, https://drive.google.com/open?id=1VZwGrAW02GSSN_1MxuJVrO_3YFEcVUlE, https://drive.google.com/open?id=15NSjPZpvTCptHoYKg7mP9N5dB1ap2SDg, https://drive.google.com/open?id=1F4cPOtVECOY5mLEfr0O0IBjS_5DG206r, https://drive.google.com/open?id=1Aqb43_ftNbksYaCePudpBa_DVOVGp4i7</t>
  </si>
  <si>
    <t>Thay pgp va giao cto</t>
  </si>
  <si>
    <t>Anh cường</t>
  </si>
  <si>
    <t>0919193965</t>
  </si>
  <si>
    <t>https://drive.google.com/open?id=1vmoWbCgJiJ4bWqJBmVj71iKLTGvRTzy3, https://drive.google.com/open?id=1x60EbloubjGR79KjgxLCf-_Dwl7Kp3te, https://drive.google.com/open?id=1EtcwGb7zJrdGYS1OyYKsg8GpUPf1QIjY, https://drive.google.com/open?id=1HJNb4x6eUTTYCRvn_REi1X54fXiH1dnh, https://drive.google.com/open?id=1NgFyQsAODu_yFxW3MFMpvUVUcQztzfte</t>
  </si>
  <si>
    <t>Nguyen Hoai Thu</t>
  </si>
  <si>
    <t>https://drive.google.com/open?id=1zp9hSMgznPDPq-xN08FGXT91dAujE2PS, https://drive.google.com/open?id=1FTqTsSLVXxpQHa4cJaIdOcRokUP8FJtn, https://drive.google.com/open?id=1xO4WNxT94G1VkYd0SeQOH8u2t2Z7botl, https://drive.google.com/open?id=16GG1H3PmOK5__SIiQpzNydIftaHNwgfk, https://drive.google.com/open?id=13Ql4JqwaUDqHgYAI0lSm1mbSgYTxJ6J3</t>
  </si>
  <si>
    <t>Phạm anh minh</t>
  </si>
  <si>
    <t>0334876095</t>
  </si>
  <si>
    <t>https://drive.google.com/open?id=1fshFEUzKRHB8uXfO0BXiiFrGky_foRRi, https://drive.google.com/open?id=1Hey1BVkJ-vBwivwOafOD5XmTHVTW8kbX, https://drive.google.com/open?id=1fCMwc7coOqfA7GOx2R9ZbRb0VvfPrBqj, https://drive.google.com/open?id=1_GGbdMVQWQuCIKHceurXgp0h3H-aZBCd, https://drive.google.com/open?id=1ggqnpYPysFt4bb6qxD30MKVMkHZXMJuA</t>
  </si>
  <si>
    <t>Lê Như Quang</t>
  </si>
  <si>
    <t>0938132361</t>
  </si>
  <si>
    <t>https://drive.google.com/open?id=1V-pFVZge_fPEvye08PZR1gN-aHQS5jPg</t>
  </si>
  <si>
    <t>Lưu đình thanh nam</t>
  </si>
  <si>
    <t>0914983296</t>
  </si>
  <si>
    <t>Lõi lọc PGP Delica UR5640/UR5440, Lõi lọc CTO Delica UR5640/UR5440, Lõi lọc RO Delica UR5640</t>
  </si>
  <si>
    <t>https://drive.google.com/open?id=1iRDjwj-MsrgvbE-4aJ_TlakQ4J06lm3v, https://drive.google.com/open?id=1TJlrlEFd_nwZUST7TDdSW-OmpX_h14qM</t>
  </si>
  <si>
    <t>Giao hàng , đã thanh toán chuyển khoản</t>
  </si>
  <si>
    <t>0932222374</t>
  </si>
  <si>
    <t>https://drive.google.com/open?id=1XLz6QqaZzclT27uzEuFJ3WzIKdrN6Tey, https://drive.google.com/open?id=1vjzNCdiqMd9ppPyvcfAcgKpCfYdTkA1V, https://drive.google.com/open?id=1YMotf2SpfEJmPg0Av7eHj6ScDVz995lf, https://drive.google.com/open?id=1l_Q5fIic5p6sqJNIehl_d_62nmOMUstI, https://drive.google.com/open?id=1gaL6nDnxcs983HdGd7MPhfwssf0oQtkl</t>
  </si>
  <si>
    <t>Tú sương</t>
  </si>
  <si>
    <t>0967714234</t>
  </si>
  <si>
    <t>https://drive.google.com/open?id=1VQONUI48iPBD20W30kl4bPXkTEr5r-ry, https://drive.google.com/open?id=1qx-m0MGUZpkekEmD_QlD7oFxxC0lZslc, https://drive.google.com/open?id=1yBRq1clP1dzS0zrQdhMKCJ1Z5BSGMvaM, https://drive.google.com/open?id=1-NoQZ6nG49jqn0IhtAkm5TgNGFsrhoRh, https://drive.google.com/open?id=1YUm1I1XgiaYM-M3JN8d5lr9v1u1pJmPS</t>
  </si>
  <si>
    <t>Thành</t>
  </si>
  <si>
    <t>0346516198</t>
  </si>
  <si>
    <t>https://drive.google.com/open?id=1IFSOvS4f1Q0Qo-LZ3FfPwbsTGJuVpYx4, https://drive.google.com/open?id=1xKa7NM-dbT7ptzOPrfKuoCdn51ARGIKk, https://drive.google.com/open?id=18pDOLlsh-gpALcS4BUArNF8mgv8uM94b, https://drive.google.com/open?id=1IEjFdQUlsilD_O5Mz9yYpmrtbJ5T0dZx, https://drive.google.com/open?id=1bTDLjjgAYFkw7XSToC3nyYbE_uJnTmQW</t>
  </si>
  <si>
    <t>1858200620700087</t>
  </si>
  <si>
    <t>Trâm</t>
  </si>
  <si>
    <t>0913914750</t>
  </si>
  <si>
    <t>https://drive.google.com/open?id=1m7_apypzpNs922q7-ky6oHf3Yj7o32im, https://drive.google.com/open?id=1-Ykx5Db7hhBRt0hZrRpvdo5QWUoQQ_sK, https://drive.google.com/open?id=1qpbk9NPXSGmqCKh9GbDDCg2WZDqjI1uQ, https://drive.google.com/open?id=1NhsGoacpvC2rmduwAqskthxsu7e2qrMz, https://drive.google.com/open?id=1ecalIlFPdbdlw6pu8GvPDJHnrFUGxSi-</t>
  </si>
  <si>
    <t>1958200620700083</t>
  </si>
  <si>
    <t>Hằng nguyễn</t>
  </si>
  <si>
    <t>0367231089</t>
  </si>
  <si>
    <t>https://drive.google.com/open?id=1Xnkp-ii1hL55GHeAPCxiDp8AQqMt07Hi, https://drive.google.com/open?id=1_vm6U7FxVJU9odaU64yc7eR33FO_b-I1</t>
  </si>
  <si>
    <t>AQuang anh</t>
  </si>
  <si>
    <t>0947755999</t>
  </si>
  <si>
    <t>https://drive.google.com/open?id=1A_B0EpYs1cdH0oIGX5Pfa9uJaqHv2Oql, https://drive.google.com/open?id=1jJzSi1C7ALCS1QFOoQ4yCwhTLrEdoYNC</t>
  </si>
  <si>
    <t>Đào hằng</t>
  </si>
  <si>
    <t>0906228623</t>
  </si>
  <si>
    <t>https://drive.google.com/open?id=1hd1psQ00KK1SDdkWx2L5Q_i6ek39Hcm0, https://drive.google.com/open?id=1yNizob1slvAJ7MIo81HmF0MMFqb1tjI7</t>
  </si>
  <si>
    <t>https://drive.google.com/open?id=1ketEmLqr9w5SdODogVglRDkEAOQF0MAi, https://drive.google.com/open?id=1qdfoS6TIxVr9KT9TYo_IbtvHOwYpOVQj</t>
  </si>
  <si>
    <t>Đã thanh toán cước vc 136k</t>
  </si>
  <si>
    <t>Lõi lọc PCB Truliva UR61096H, Lõi lọc RO Truliva UR61096H</t>
  </si>
  <si>
    <t>https://drive.google.com/open?id=1HVS--fnxwooFcXkgf5FeZ0lbxBbcT0Mz, https://drive.google.com/open?id=1kbwDuOwf7FkvjrkmjqXdpXJoWFIyh5A9, https://drive.google.com/open?id=11-mSfNbw_-4f9exa-y4hHCndesd_0JXj</t>
  </si>
  <si>
    <t>Thu lõi lọc máy 61096 về kho tt tiền cước 106k</t>
  </si>
  <si>
    <t xml:space="preserve">Anh Toàn </t>
  </si>
  <si>
    <t>0903146389</t>
  </si>
  <si>
    <t>https://drive.google.com/open?id=1cLKcgsDlp_k88XPVyu_Af3gy8nM01dbS, https://drive.google.com/open?id=1ggH7hAHA5JUdZ4V7L9oBqy_DIkl_L2VE, https://drive.google.com/open?id=1KTsGUbGJik4lPxEtJwZcp2QC3czLf4nO, https://drive.google.com/open?id=1PsJhNj4fhFI8rdjEWdOOsa__mmhKXlLJ, https://drive.google.com/open?id=1TmGBmnnsZMhq1kmo3fmR-WGNOIzaXFOc</t>
  </si>
  <si>
    <t xml:space="preserve">Thay biến áp mới </t>
  </si>
  <si>
    <t>Bội Trân</t>
  </si>
  <si>
    <t>0778899998</t>
  </si>
  <si>
    <t>https://drive.google.com/open?id=1RIXCbaukZpXyjI5Yfevekeb7F7G_66Tt, https://drive.google.com/open?id=1ngBFFvuqz3SL_AlM5nL_QbcXyCrLTJpr, https://drive.google.com/open?id=1wvknZg9Sj6oNbH8SbDOnrDoMEH7xjDsH, https://drive.google.com/open?id=1JDl5YWRetCUNtZOwE6HgTExWYmF4Xmb0, https://drive.google.com/open?id=1FZgFNVqh-IQJ4XHUlo_5b-b1ECLkjbHa</t>
  </si>
  <si>
    <t>lê quang triều</t>
  </si>
  <si>
    <t>0932580932</t>
  </si>
  <si>
    <t>https://drive.google.com/open?id=1QGg2Qvrjbj6GEKc8m49oiG63W21VTZR7, https://drive.google.com/open?id=1X8HpnFFh4OcT7vLv15Xvc09ro7g-OxQc, https://drive.google.com/open?id=1ujM5h_6sm0ZD-uUox2HuhFt3BA0P9fgy, https://drive.google.com/open?id=16PcKwmIupWa4S9EdQy2D_4ol4xv7YW1c, https://drive.google.com/open?id=1Trqjeo6qJOW5gAzeGpsUxQkMCPR0ha_z</t>
  </si>
  <si>
    <t xml:space="preserve">Trần Thu Trang </t>
  </si>
  <si>
    <t>0961799003</t>
  </si>
  <si>
    <t>https://drive.google.com/open?id=1DadWxJ46t7u0cfTa01xbFHG12o_W1_HM, https://drive.google.com/open?id=1K742jQCHn0n6YR_l4UHBq7bQaLRqzeOW, https://drive.google.com/open?id=1O014xkvMQgcNzC1gO0OUmkC9Duqo7PDd, https://drive.google.com/open?id=1q-FgtvzO-OIgC8joZ1TFfUNFUsPk2k27, https://drive.google.com/open?id=1ZdEFqjrX42RlGxnmdpgyn0zQEwClm5ZL</t>
  </si>
  <si>
    <t>Nguyễn ngọc duy</t>
  </si>
  <si>
    <t>0934634898</t>
  </si>
  <si>
    <t>https://drive.google.com/open?id=1BQecKmVRj79EHAplP7etmSJ9NDdlNbe5, https://drive.google.com/open?id=1zVN6TSt6Suu_0DfOrF7ggaDbybcmMM-_, https://drive.google.com/open?id=1za-hpa6INGZT3E8MAqxQbAzyfexz_0h6, https://drive.google.com/open?id=1JH-zscTypPEwvLbL-CbKdsNNUIJf8Nfo, https://drive.google.com/open?id=1kGJXLjZX0wfA2coFERvgqxVFY_pSQIZ2</t>
  </si>
  <si>
    <t>Thùy Dương</t>
  </si>
  <si>
    <t>0969121072</t>
  </si>
  <si>
    <t>https://drive.google.com/open?id=1M35v8uPP_QdMPuf3hZtz7DBO3vTlKmu-, https://drive.google.com/open?id=1BzIAL6mMPYJIdxPoYpDTGB4pUvv4DU45, https://drive.google.com/open?id=1zlkJr0XB5go_Wd6Lvk_reHrh7dt-Rlmf, https://drive.google.com/open?id=14VNO0kLHmeF0f_CS8BzTdrUZ4xMSIQ-4, https://drive.google.com/open?id=1b6aWwCgw2zvYUvIcjjlb--KOIRsJjC9j</t>
  </si>
  <si>
    <t xml:space="preserve">Đặng Hiệp </t>
  </si>
  <si>
    <t>0869320327</t>
  </si>
  <si>
    <t>Máy lọc nước Truliva UR5840, Lõi lọc PGP Truliva UR5840, Lõi lọc CTO Truliva UR5840</t>
  </si>
  <si>
    <t>https://drive.google.com/open?id=1I_NMEzlF6vTzHe3b3uKnAAGpEu8vW_RZ, https://drive.google.com/open?id=1vi4EFR5VCU2wGyhiREdywpR6QgABdMEa, https://drive.google.com/open?id=17Q4yvLtBtajhnYxSTxMdkjFZMOnmVgE-, https://drive.google.com/open?id=1jgGaz3MwUXEwv6JYZd7qVKlkMfIo1ezf, https://drive.google.com/open?id=1DB0cueqmINXJzIX47sXjLjGXVphaGc3_</t>
  </si>
  <si>
    <t>Bác hoàn</t>
  </si>
  <si>
    <t>0985121175</t>
  </si>
  <si>
    <t>Lõi lọc PPCF Truliva Lavita CR5240</t>
  </si>
  <si>
    <t>https://drive.google.com/open?id=1bV7JM6whVR5FBp37Mv4GW9AtbZXzgF5R</t>
  </si>
  <si>
    <t>Bác trả tiền mặt</t>
  </si>
  <si>
    <t>Phạm văn Bình</t>
  </si>
  <si>
    <t>0946691188</t>
  </si>
  <si>
    <t>https://drive.google.com/open?id=1MjVzHvRL6P88H-XgDZLWLDkKyvF_tmcJ, https://drive.google.com/open?id=18BBukHcAfwVZDHawvVU1TEkp5CMbY89L, https://drive.google.com/open?id=1CANAuTLcdOSs4_xZc4jIBq6TKTdSGDCi, https://drive.google.com/open?id=1jFIG2UKjDaOvrz10X5TYuCKD_zScsmf7, https://drive.google.com/open?id=1iihOGgwFdmbU-VGyYgS9_ZU7SgC7Q2Uv</t>
  </si>
  <si>
    <t xml:space="preserve">Chị Phương </t>
  </si>
  <si>
    <t>https://drive.google.com/open?id=1lBngf0bAXhURpVZtlKJLDxZuvlws2bs9, https://drive.google.com/open?id=1YQjIhPlu72T5MEgsDWLgRv63X85nz542, https://drive.google.com/open?id=1gmA8N92s2XGdQpG3vUB476uAENe6MpcO, https://drive.google.com/open?id=1LD8W8KEKQ1gW_t4-IFVDVs7xpPvyds7y, https://drive.google.com/open?id=19hNwg3tvJQ0dsJwg7IfN9WbrVuvbu4Vz</t>
  </si>
  <si>
    <t xml:space="preserve">Thày biến áp moi bảo hành </t>
  </si>
  <si>
    <t>A Hảo</t>
  </si>
  <si>
    <t>0919331497</t>
  </si>
  <si>
    <t>https://drive.google.com/open?id=1VLC0q35nbJSM4KzPZ82jJJHNwnnG5lYE, https://drive.google.com/open?id=12gn23lb4BchNRuC-YoxmnXVYEWd6TOtW, https://drive.google.com/open?id=1RdE0aZ9dZpkyTGGPHdsho1w6DIBED9e0, https://drive.google.com/open?id=1oCJOs4b4ghDg6jguxcFUK2Y40NsJspma, https://drive.google.com/open?id=10XHAbeOJ0OSmsTCCHdkTELQWVMhAOyPS</t>
  </si>
  <si>
    <t>Giao lap ur 61096h</t>
  </si>
  <si>
    <t xml:space="preserve">A Long </t>
  </si>
  <si>
    <t>0973413963</t>
  </si>
  <si>
    <t>Máy lọc nước Truliva UR61096H, Lõi lọc PCB Truliva UR61096H</t>
  </si>
  <si>
    <t>https://drive.google.com/open?id=1DKc5kagU58-MR7kUZB-KfkDFzrEyS7Q2, https://drive.google.com/open?id=1ylMaaA_S4SU8jiXfOKa2gOM6b5ljc_MR, https://drive.google.com/open?id=1ZqabPofLF7r-cnctN4LZ-mPyjEC_z_cu, https://drive.google.com/open?id=11gx686p4mqPMXBDsEBB-r1pF2pEbA7Fm, https://drive.google.com/open?id=1a9w6MQizmH2ip5VF3tnxJBXwKicgNUyL</t>
  </si>
  <si>
    <t xml:space="preserve">Giao lap </t>
  </si>
  <si>
    <t>0947239229</t>
  </si>
  <si>
    <t>https://drive.google.com/open?id=1KS3wB-MAX7xV3Ftc__rz8YZeZehFCaXw, https://drive.google.com/open?id=1mmBMFAqpfB0mgsJbXSq91tnU6KgdAjPS, https://drive.google.com/open?id=1CWgQhGdqj5_enm-xEPezjC4xUVmOKKva, https://drive.google.com/open?id=1bD-IH3WwZawelDupOacYm1aptAQ619ZI</t>
  </si>
  <si>
    <t>anh Thành</t>
  </si>
  <si>
    <t>0914566662</t>
  </si>
  <si>
    <t>https://drive.google.com/open?id=1WEl--lF8-CTCkC7m0xBbB1zNi8picB5z, https://drive.google.com/open?id=1QAiDa2XGdF-mWSNSvZF3MUOYJ-nP8JPe, https://drive.google.com/open?id=13unt_aH98K7CzqsW9k03ikM32HwEUdTC, https://drive.google.com/open?id=1pF1bkuh6plBL_WBDsfJO4-q3HaRWkuvJ</t>
  </si>
  <si>
    <t>Thanh Thảo Phan Vũ</t>
  </si>
  <si>
    <t>0938127996</t>
  </si>
  <si>
    <t>https://drive.google.com/open?id=1B1YQRqKNhwsPf0VlIMHVMT6XOw-mj6Wt, https://drive.google.com/open?id=1u7GVuVcftXahiTCy1UkehdfU_skTAnEP, https://drive.google.com/open?id=1Ab-QXML43zZJpO_n3KEMIEd32TyKIB1z, https://drive.google.com/open?id=1SvQt0_NkaXW72OTZuEqNHuYGMkYy2wsH, https://drive.google.com/open?id=1H72QV6hnwx373pOhi5uNSQcLVoFU9WbB</t>
  </si>
  <si>
    <t>chị Hồng Đức</t>
  </si>
  <si>
    <t>https://drive.google.com/open?id=1Ft9wH3_sqByH2TqdRamaPHC1GWD9LjxU, https://drive.google.com/open?id=19mo_Pkgk5SsB7Q_k__a2ycgSAmiPs4_H, https://drive.google.com/open?id=1Ub7ZeB2Cep2WRMMB1Nx-tW_UeTw7q_W3, https://drive.google.com/open?id=1WuxWz3Ui6tRIwCW7GiwgM9bILurxe4dL, https://drive.google.com/open?id=1lQYg_9ZIHUypwQGTM3k-Jb6NBBtWNNx-</t>
  </si>
  <si>
    <t>Nhi Lu</t>
  </si>
  <si>
    <t>0903885216</t>
  </si>
  <si>
    <t>https://drive.google.com/open?id=1hjN01GJckBl-iXyWOep3LAmLAHec9S0T, https://drive.google.com/open?id=1UEJ07B1IZWaeHBnoj9CtMYxn2xpcFLcx, https://drive.google.com/open?id=1iYDAabgI9t0hUvP-5ril_msdTdzAX5RU, https://drive.google.com/open?id=1VbIkSQIGJyJapHXzFldlf_J_ooh3ouYR, https://drive.google.com/open?id=1QcCBJg8xTX7iUZPkDw8tGLUzGgEF_X7A</t>
  </si>
  <si>
    <t>Lê thị thu hằng</t>
  </si>
  <si>
    <t>0915073232</t>
  </si>
  <si>
    <t>https://drive.google.com/open?id=1g7v-FU1dgWz4ZGonFsQ3GYir51KlNpwd, https://drive.google.com/open?id=1WxmWfu6uCiCWZdDp4f-UlF94iK4TeT9c, https://drive.google.com/open?id=1YImkg-DQ9owBWXD3x30CtiuAGrJIDrEr, https://drive.google.com/open?id=1GVMeZMMjhMF-aEs6NCkDU2OF3FH5DiuR, https://drive.google.com/open?id=1d3c_KNopEnsCoOG37DXLbHChF2C6lUHS</t>
  </si>
  <si>
    <t>Lê thu thủy</t>
  </si>
  <si>
    <t>https://drive.google.com/open?id=1VFQYqEhn8AruUeXtaCCV5AuDezuKdOUx, https://drive.google.com/open?id=1ghB12egQCiRcTDn8UQQJFeq6ts0WWuMk, https://drive.google.com/open?id=1xhPT1vKhFGM-0iSnPMhJelQLPUKNPjff, https://drive.google.com/open?id=1N_1J3MiyKbmvxFAXg67rWP9S7OJqc6Au, https://drive.google.com/open?id=1_uUizLJKubwK6FnFYu7PqddM6VK5Inja</t>
  </si>
  <si>
    <t>0866931668</t>
  </si>
  <si>
    <t>https://drive.google.com/open?id=1305smUv2c31tT4sojF1CAYCTV-O84STm, https://drive.google.com/open?id=1KGWAIH7jBirTqlAgyy6sH4rx4D5IwnX_, https://drive.google.com/open?id=1qluezhMU4Msn9bdGRy17isMpwt12Y6lQ</t>
  </si>
  <si>
    <t>đã giao hàng k ck purevita</t>
  </si>
  <si>
    <t>Ktv hoà</t>
  </si>
  <si>
    <t>https://drive.google.com/open?id=1weDM1Jz0F3c92mdQPTNKwweySk11zm6f, https://drive.google.com/open?id=1nfkrOb69U0G7LWmDQOcNM8q88U_qnD3T, https://drive.google.com/open?id=19Ms4-XxQJiTC5ECFmbydl_lwowm0KkZc</t>
  </si>
  <si>
    <t>Đã tt cước phí 48k</t>
  </si>
  <si>
    <t>0982315963</t>
  </si>
  <si>
    <t>https://drive.google.com/open?id=1KWPn6Z6ugGggmm3UeB10e-WF27lMpxIr, https://drive.google.com/open?id=12PGmT7sHSSfGGFuoX5yi3RguqOO3E-ss</t>
  </si>
  <si>
    <t>Đã.ck</t>
  </si>
  <si>
    <t>Minh châu</t>
  </si>
  <si>
    <t>090 2415045</t>
  </si>
  <si>
    <r>
      <rPr/>
      <t xml:space="preserve">https://drive.google.com/open?id=1BC4vh4726Wpin7WlBG4DgnHFSP-uiATx, https://drive.google.com/open?id=1rppIOUrCQLXQVsPgkhTVOxn08St4nJ0j, https://drive.google.com/open?id=1_06dFaV67BCiU_ZZLstZv3VWB3CIwCSM, https://drive.google.com/open?id=1Eq8DmJFXNmDQt5zus0O1iMcnwFbtAEht, </t>
    </r>
    <r>
      <rPr>
        <color rgb="FF1155CC"/>
        <u/>
      </rPr>
      <t>https://drive.google.com/open?id=1qWzNDhw_ns2O1N2CM2WNEU_MrgrhLN-E</t>
    </r>
  </si>
  <si>
    <t xml:space="preserve">Phạm Mai Anh </t>
  </si>
  <si>
    <t>https://drive.google.com/open?id=1Pu92-oXitirrZiuWGNi1Odm1qxdEYtvP, https://drive.google.com/open?id=1b1ekwDAxPFv9NHEAydjS85R2wUlIATxb, https://drive.google.com/open?id=16IXfg81dpXqV2Gcx2PZMiKosmMaj2UCO, https://drive.google.com/open?id=1a9JTm36I-0Y7X_XEAKDaU6KjaSnD9J1g, https://drive.google.com/open?id=17dLt4vyQnkwt7B4VPDxVFpUcmhj0DmbY</t>
  </si>
  <si>
    <t>A khải</t>
  </si>
  <si>
    <t>0988578265</t>
  </si>
  <si>
    <t>https://drive.google.com/open?id=1HhK_RKUPhdptwS2nEjsEn2Em0O3D2Gtl, https://drive.google.com/open?id=11LLpcBFM_F27PzKiZtEE84-_jHqaUWG0, https://drive.google.com/open?id=1tlQVZW9n20_Gpjm9RfB5kRh_E2oLfgJE, https://drive.google.com/open?id=1XAl8xcwDpFFS48WWDv5XxfaGnslptkNl, https://drive.google.com/open?id=1ajNrPKZkDH6R3hFM2sdGQnsKmC2b3z0N</t>
  </si>
  <si>
    <t>Lưu đình hoàng nam</t>
  </si>
  <si>
    <t>https://drive.google.com/open?id=1CTmzunsg2AF2WKioTMRWrtb2cpirjGaT, https://drive.google.com/open?id=1ZRcOovpkjUs2vrmee0oavUzz442FqV0n, https://drive.google.com/open?id=1HiohlIXv9-96lHGCBaV24Z0dB8JWs8K5, https://drive.google.com/open?id=1uppogEqRHLnjqcAfqvskjSJwIxZPEniM, https://drive.google.com/open?id=1QMdqw-Ga2zGXiprVLbtVf4QcSSteL9zC</t>
  </si>
  <si>
    <t>0906777650</t>
  </si>
  <si>
    <t>https://drive.google.com/open?id=1118lTEoo0DXU06IBWwVMLE-6JrZwEQpW, https://drive.google.com/open?id=1wDplDPghdNnK1bUG8XQgqPkchd-3ipjA, https://drive.google.com/open?id=1OoD6Dt07LDsAAxwkE5ALxcAxXWd3M3LJ, https://drive.google.com/open?id=1_w9zbpST2bZztl2wrDN_gRwLe-caA25A, https://drive.google.com/open?id=1ujQSrhrtPyV_YFOBGL5e3YNKavz3EePE</t>
  </si>
  <si>
    <t>0911737396</t>
  </si>
  <si>
    <t>https://drive.google.com/open?id=1-axMwxLo8fO1oR1uVF_6_EepxXdD0G2j, https://drive.google.com/open?id=1iynrfzYwqjvoSq06QlJvrcIoUyd-Plxa, https://drive.google.com/open?id=1lmYGSV-RSP7PDu8ycJNyTJ6oTVZsQDqN, https://drive.google.com/open?id=11kuMR6iXx39zfnpkgrcCI_nJrf0CmC-8, https://drive.google.com/open?id=1NdDIRe2p211QgKFY4fvLkKMJkNxKc8O-</t>
  </si>
  <si>
    <t>0906314055</t>
  </si>
  <si>
    <t>https://drive.google.com/open?id=1ThoPBCof439tjJi_A3EcAWHXePOO4IcO, https://drive.google.com/open?id=14Vw3jSO1wsENCOA-T1IftV0OjO3AGMso, https://drive.google.com/open?id=1TBsibj_eSWgUcjuH8GNRCrlGKlDpwCu5, https://drive.google.com/open?id=1fZt5GyZcQgAix5CI9K23hfmqudu3kIBu, https://drive.google.com/open?id=1Yzz-pX6jGvk0YuikQFDgjeECuXJo1cBo</t>
  </si>
  <si>
    <t>anh Tuấn</t>
  </si>
  <si>
    <t>https://drive.google.com/open?id=1qnM7jDzAPqfOKI0R-RDYYyWxO6FpqPSV, https://drive.google.com/open?id=1ZHIFV5xPBqHV7tejV0OTJLs-CFMjX0eM, https://drive.google.com/open?id=1-lnnkthAGxLdsdowOgRxE5B4a2VINPZj, https://drive.google.com/open?id=10BCJfgldH3tYK4EQNQ9bA25Q_p1vDQXH</t>
  </si>
  <si>
    <t>Anh Đằng</t>
  </si>
  <si>
    <t>0902614575</t>
  </si>
  <si>
    <t>https://drive.google.com/open?id=1MK6uCh2UaIrkAmuZdtBmcBiIQd0Z0Eag, https://drive.google.com/open?id=1FBaKve8roC6mx4JWDxEfbOxt6qCE2xH7, https://drive.google.com/open?id=1YGxMP5bMx9aFL1ThkwAi40CimxO8uQio, https://drive.google.com/open?id=1bVmN41ImMb1N2LZStXdgKXTeHPcF7UuN, https://drive.google.com/open?id=1dcdogk3AHOgPy1aJgtTkmOanlahBOSlW</t>
  </si>
  <si>
    <t xml:space="preserve">Nguyễn Công Huyền Trang </t>
  </si>
  <si>
    <t>0944767789</t>
  </si>
  <si>
    <t>https://drive.google.com/open?id=1G8v0RfBJjpckFelPa4D71Lw-PWLgO9H4</t>
  </si>
  <si>
    <t xml:space="preserve">Ktv hoàn thành ca thay lõi lọc </t>
  </si>
  <si>
    <t>https://drive.google.com/open?id=1CxR2agro_d2lHyvFr5LtJYfJjY-p_WaI, https://drive.google.com/open?id=1Dp0MdDFLd6-1km3pa33Gd1C6qbXsC7-l, https://drive.google.com/open?id=1yIQutOrxkhJpPXIITgy2FJyiYWSD8jdS</t>
  </si>
  <si>
    <t>0902860755</t>
  </si>
  <si>
    <t>https://drive.google.com/open?id=1BvNLM1ZWTbdHGJaC-XTg0w1DHJdVlS5M, https://drive.google.com/open?id=10T5K_yT0c7dEZ9qUcIGUbTJnjbPg15wp, https://drive.google.com/open?id=1T1F1f9rcca1au25YwidFXmAOaOMqPvjv, https://drive.google.com/open?id=15c-WrvxoFvLHvTrJpBpSt4SrVHBkcGZN, https://drive.google.com/open?id=1kRWreS2puSCsA0Fl1XWNh95cBG9kLzud</t>
  </si>
  <si>
    <t>Anh Thiện</t>
  </si>
  <si>
    <t>0984535243</t>
  </si>
  <si>
    <t>https://drive.google.com/open?id=1oScqdo42Ja4pQXuLKa3UCDug2eFqg94i, https://drive.google.com/open?id=18_6fWx-0XjEXmTRT-K52bXhIhDrByyjE, https://drive.google.com/open?id=1P_FPR9l0LUQNNzRwdtlLOw-IVec8rDgT, https://drive.google.com/open?id=1PVliNS-QkimfnaXW8-n7xYR_Kw8aIjpj, https://drive.google.com/open?id=1mqRPS0d2KSlw9vUkfdvNzX9by8QG6u0J</t>
  </si>
  <si>
    <t>Ktv ko thu tiền</t>
  </si>
  <si>
    <t>Xuanhoahong</t>
  </si>
  <si>
    <t>https://drive.google.com/open?id=1GqpWCGWTtrX9E0J-uxqXjy7MhIL23vZ2, https://drive.google.com/open?id=1895mVqJ0-fMUboQdb6te9ioRRXm9vdl7, https://drive.google.com/open?id=1nqLu_0fIIbehaozXtVUXRRGkyD0WkBKm, https://drive.google.com/open?id=1YiESMnZNaFUcQUROEF4PLk8GEPpmWjMi, https://drive.google.com/open?id=1eNHcQ-PqbqPVRWhGOZEI8YbO_j267BN5</t>
  </si>
  <si>
    <t>Chị Minh</t>
  </si>
  <si>
    <t>0815895555</t>
  </si>
  <si>
    <t>https://drive.google.com/open?id=1tbtgm9bSs-Sfxbt8lWlVc3Q9Lhkzjk9b, https://drive.google.com/open?id=1AA6ha9aFJG9wI399Mf8z48X5up71_Kyo, https://drive.google.com/open?id=15W4NnQl39vwRJapJBNExbJc5rGcWdbhA, https://drive.google.com/open?id=1ggp2PBqkq4eSDvdWmDOjLRsuJ60a9jvg, https://drive.google.com/open?id=11csntUj4cT6zNiT4PLmvS2523JGBfapQ</t>
  </si>
  <si>
    <t>Kh ck cty</t>
  </si>
  <si>
    <t>Đỗ Duy Khánh</t>
  </si>
  <si>
    <t>Minh Thuận</t>
  </si>
  <si>
    <t>0967645536</t>
  </si>
  <si>
    <t>Máy lọc nước Truliva UR5840, Lõi lọc PGP Truliva UR5840</t>
  </si>
  <si>
    <t>https://drive.google.com/open?id=1sXnnF4CqZpg-ZIO7XWonoUWQ8aDDsTcH, https://drive.google.com/open?id=1Z0n34Smbmn3HUhoAOsfBFIxdFIVos9dV, https://drive.google.com/open?id=1OX4NV1E4oaVqbrbw8ow7A7PKDl8F1S0k, https://drive.google.com/open?id=1-RaOwVqAx9do2oJ1CSPZa4JgUlcmcsHo, https://drive.google.com/open?id=12hAZcXL1VCqPtV7un1w59Cv53PTVyZJu</t>
  </si>
  <si>
    <t xml:space="preserve">đã thay lõi lọc cho khách máy hoạt động bình thường </t>
  </si>
  <si>
    <t>https://drive.google.com/open?id=1hyhGu399XwGpbTrLlIJnTcDAFPM7TpmI, https://drive.google.com/open?id=1Y_Nmw-LCVYHPOvQxVwwsmg1jFofzFShK</t>
  </si>
  <si>
    <t>Đã tt cước xe 105k</t>
  </si>
  <si>
    <t>https://drive.google.com/open?id=1X9ZLAnyhivsYBVhAiJ5KpiGC7xCbfn5T, https://drive.google.com/open?id=1Ub09iX3W0hfwsWlC0S3fQH9NT2ucRe3v</t>
  </si>
  <si>
    <t>Đã tt tiền cước xe 100k</t>
  </si>
  <si>
    <t>Chị phương Hoàng</t>
  </si>
  <si>
    <t>0989616180</t>
  </si>
  <si>
    <t>https://drive.google.com/open?id=1amK4JaVtF8HfYzOU4MGTFQqIBUU1GCvA, https://drive.google.com/open?id=11TW5Cq4YbEDotkYlUmgeODQzsuBglZcI, https://drive.google.com/open?id=1X7YeHGp-arPIEvZjPmuCJNOAy8KU5UoP, https://drive.google.com/open?id=1Hodz21-iF7noeko6sA7X460pnzUEBVOz, https://drive.google.com/open?id=1svWXHY6_YZ1Y9i6KOBO1oXsvLAh65l-2</t>
  </si>
  <si>
    <t>https://drive.google.com/open?id=1I5SEFVPZQ0iIRsDSVOtLvv-R9Ug8d3Ov, https://drive.google.com/open?id=18gF5fUWen3FE3Vwst8hMsY0yslU7qwHW</t>
  </si>
  <si>
    <t>Đã tt cước xe 75 k</t>
  </si>
  <si>
    <t>Võ văn phúc</t>
  </si>
  <si>
    <t>https://drive.google.com/open?id=1SYm-iIX7p1o11LfIlD_vlsyrx6OJ-Qnw, https://drive.google.com/open?id=186PfBH1Xc7VCS7hiGCl1kpjay0-dnMyR, https://drive.google.com/open?id=1PMjdlCtxYwXEO2VyAw-9jD5mgPPxbAQX</t>
  </si>
  <si>
    <t>Đã tt cước xe 164 k</t>
  </si>
  <si>
    <t>A tuấn</t>
  </si>
  <si>
    <t>0961256686</t>
  </si>
  <si>
    <t>https://drive.google.com/open?id=1u2pQQV2FKK6FCgxdaTg8nbHqzSsW-MMU, https://drive.google.com/open?id=1ndhlYunByCy-Olw1gEfOI-IS3FlzJQKu</t>
  </si>
  <si>
    <t>0823149959</t>
  </si>
  <si>
    <t>https://drive.google.com/open?id=14c1-wLE5m6LctVrI0OCpQs3smbna5uOX, https://drive.google.com/open?id=1Ivrs7oZ0iD-IKZ_iadc4E5YAqWYPqeyL, https://drive.google.com/open?id=1YLtuNzjVV3ra5_kLhJpyQAf5mL2SbWVX, https://drive.google.com/open?id=1pOB7bR_pi9gLFGWDQjVDAw0TwfLUqenu, https://drive.google.com/open?id=1uB98AJBEt9kI4a1eKkOzc6jnTRzJnOlh</t>
  </si>
  <si>
    <t>0949595276</t>
  </si>
  <si>
    <t>https://drive.google.com/open?id=1Z8p5j-FAdoIIwIwbhv-iIR-tvweo7RAf, https://drive.google.com/open?id=1_y4n0TYGfd3i_FvjRerhaX_dUwQFRDti, https://drive.google.com/open?id=1czyaYr_fysO2LA0i3DIuuqspyKPfELX9, https://drive.google.com/open?id=1Hd7d7AUebMleQbyWyOMViNFE1Z5UyDP2, https://drive.google.com/open?id=16UhVn1OGq5CB9Udbs4-cvEPvsdpDAAYR</t>
  </si>
  <si>
    <t>Giang Đức Anh</t>
  </si>
  <si>
    <t>0989815930</t>
  </si>
  <si>
    <t>https://drive.google.com/open?id=1WFSJBDhqHwQb-OYcswBDl8DY7Qq6X8eh, https://drive.google.com/open?id=1U3SN7SoACh7GxP87p5X0AHsolRgX_rRE, https://drive.google.com/open?id=1UKVqVyob2fCiJyRVqb_gg75lMrYegndg, https://drive.google.com/open?id=1O3WE-cvK3QsLWIxtsD3ZryJfkSKXrtnT, https://drive.google.com/open?id=1xIR8MpMVsu2FPx2Qd7PsDMuUnT_IcnUy</t>
  </si>
  <si>
    <t xml:space="preserve">Anh Lâm </t>
  </si>
  <si>
    <t>https://drive.google.com/open?id=1yUpf_v9Z1HWEd7zOmH7dEh_ToDTINjJK, https://drive.google.com/open?id=19AJlnW1YWoHdeoHMVdM5MczqfyHQGsoq, https://drive.google.com/open?id=12u8gz-P8XZWMyz61KkYbRXeLytVqsRQu, https://drive.google.com/open?id=1dFVRnFt0aC6z-mpv8fXKtZnJpvsPWpP5, https://drive.google.com/open?id=1OuW6lCCpUqk0fCkB_5VrOEVAyV2C7YM6</t>
  </si>
  <si>
    <t xml:space="preserve">Khách đã thanh toán phí phát sinh cho KTV </t>
  </si>
  <si>
    <t>186825082100002/196926010400193</t>
  </si>
  <si>
    <t>Chi Hằng</t>
  </si>
  <si>
    <t>0902341965</t>
  </si>
  <si>
    <t>https://drive.google.com/open?id=1_47BoUNsDgXD2oPOIRCxn2plb_TgmbxT, https://drive.google.com/open?id=1nYf0iUwrISh0tORiUHI-ddwRfnfor__A, https://drive.google.com/open?id=12EYGTEhcyPmrGSqYeLFAin8onH9-1KdG, https://drive.google.com/open?id=1ez_3aOx3QxxjblOfTImzztcjLhu0Nr7U, https://drive.google.com/open?id=1ulbgoCqo71f3g6yFHRDweiQjY8hpYzjs</t>
  </si>
  <si>
    <t>Thay pgp cto 5440, thứ 1243k, đã ck cty</t>
  </si>
  <si>
    <t>anh Tít</t>
  </si>
  <si>
    <t>0966426680</t>
  </si>
  <si>
    <t>https://drive.google.com/open?id=1Rc7r7yQAxQjWHAD1k2uWo1rJI99Iy_Wf, https://drive.google.com/open?id=12W4lef6l16FTXt7_eEsRMySNgxJNPXR3, https://drive.google.com/open?id=1j9_WrwiGnRgkpKc_TMbKhIxTx_QJlwMd, https://drive.google.com/open?id=1aV370Gt6U43Si6AEmCpbbWZkinDTddX6</t>
  </si>
  <si>
    <t>Anh Châu</t>
  </si>
  <si>
    <t>0908085071</t>
  </si>
  <si>
    <t>https://drive.google.com/open?id=1SPffHhKBuom4NS6eQqBdvSrknej-GpeV, https://drive.google.com/open?id=1DODBMFODjsIMKudfgtdpXkmlonACmbUg, https://drive.google.com/open?id=1Nj5BzpT_eKl-mBgF86Mo6zCDV5vIHKca, https://drive.google.com/open?id=18snvq-88luBTqC6246keIoBGdlZcuue_, https://drive.google.com/open?id=1hUYL5hSMoT9Snt2-NoL6hAyk7Bm5hxlB</t>
  </si>
  <si>
    <t>Thay PGP CTO 5840 thu 1405k đã nộp CT 29/4</t>
  </si>
  <si>
    <t>https://drive.google.com/open?id=1h1NkPzPkQAVqtheQSmC7tJ_0c-vjBl4z, https://drive.google.com/open?id=1K7yOHmHux3QihWapLpl2dc89NQ0ktsd_, https://drive.google.com/open?id=1NTPvK91Pfwse8AT3cfMeFJxrj2mEMpgn, https://drive.google.com/open?id=16cj9rZPgsaYC-FO02TJhbVofglSSe1zV, https://drive.google.com/open?id=1tU569bqgHXYe7dcsUSRI5TjtGCnd9ga1</t>
  </si>
  <si>
    <t>Ly</t>
  </si>
  <si>
    <t>0356202948</t>
  </si>
  <si>
    <t>https://drive.google.com/open?id=1ApjuUyWKr3hbNUO20HO6pBTAkVKRH8Vy, https://drive.google.com/open?id=1j5-wa_Nmgyw4Ux_VfyuBTz5M0fkS49L3, https://drive.google.com/open?id=1BvIxwdtLhLhA3ALphTDf-sSNwkRkoy1K, https://drive.google.com/open?id=1n_cTO07z6B1ologjZq0sk1PTSKM5XM8u, https://drive.google.com/open?id=16c84zmKHfPA6TezeTJ8kLPmfEE-S8loj</t>
  </si>
  <si>
    <t>Thu hương</t>
  </si>
  <si>
    <t>0938279387</t>
  </si>
  <si>
    <t>https://drive.google.com/open?id=11utEixRlNLUWXTVqZPwZucRvpf1tIQw0, https://drive.google.com/open?id=1Kya4AmkgmqUC5UKaVIFAc53zqesM3PCi, https://drive.google.com/open?id=1J1bRc318mRF77F-CuzQvIE2TJphIc0Kl, https://drive.google.com/open?id=1txer5hUWPhDuwwAMXrnDKUZlWTo9W6YS, https://drive.google.com/open?id=1y1b8xh-FFYsf0vgmcNOw1r6uy8j1OouP</t>
  </si>
  <si>
    <t>0901389345</t>
  </si>
  <si>
    <t>https://drive.google.com/open?id=1ZuEB6rAliMZMkwf5WuaYJieZJ3rASv4h, https://drive.google.com/open?id=17I6TBfN4biiJQ53P35bT09-Ngs8-SwOK, https://drive.google.com/open?id=1_rJVEpEeCY33CgoJrph4gVvwYO4n8Qfs, https://drive.google.com/open?id=1BY5Pv1vd_OdFv1W8yhivugUG2ijjfy8G, https://drive.google.com/open?id=1Q0N52hMz_Drv97gX0jwCKnhZxIy1NGZF</t>
  </si>
  <si>
    <t>Chị quỳnh nga</t>
  </si>
  <si>
    <t>0833389222</t>
  </si>
  <si>
    <t>https://drive.google.com/open?id=1dannHx0bPxsYF-kv5VwT26OxLYAs_MRG, https://drive.google.com/open?id=1fi_XVu2rk8gUIxhRkipbUShrvfFUJp3j, https://drive.google.com/open?id=1lHPTBtWH2F6CHNe6PA_RVrDbeu9Vv7Pm, https://drive.google.com/open?id=1vUDquBjdWc_07M9GdW3iOi3PSiUHnCgF, https://drive.google.com/open?id=1C6gSBo1QtyCJZlqDWN77matuqMj4AqBz</t>
  </si>
  <si>
    <t>Khách chuyển khoản công ty</t>
  </si>
  <si>
    <t>Dào quyên</t>
  </si>
  <si>
    <t>0987769372</t>
  </si>
  <si>
    <t>https://drive.google.com/open?id=1sGu1OGccNlwBhiZVfieivCk5HG0DiUcE, https://drive.google.com/open?id=1s8DpLqMhM3JJ2ixNbsobCbGIkWLaiiZM, https://drive.google.com/open?id=1Z_PE8XJo7WWi3PyUh6IvuBU_9DZWSYdz, https://drive.google.com/open?id=1jOjIe3wZC5wFNkLM5akrWNsUYE13xc92, https://drive.google.com/open?id=1ezh5UvnW0kmZ3iRWKTzu0r_NfZPhqbmU</t>
  </si>
  <si>
    <t>https://drive.google.com/open?id=1Dvh_0gXN1awWjWyZwd7TTIySuMj__0Ya, https://drive.google.com/open?id=1-6LKkFDdkizWbUYY_1foJwn8UItohPvp, https://drive.google.com/open?id=1_r2lB1a_Ztj0MRX714YkwKyOsr3x6l1d, https://drive.google.com/open?id=1VAj5JTYriFCOxcRduli-2HvYQNeX0v3P, https://drive.google.com/open?id=1d8Kgyb2kQEWqgTbCHTezdhQMxeSmdzhz</t>
  </si>
  <si>
    <t>Giao máy lắp đặt k ck 16300 cty purevita</t>
  </si>
  <si>
    <t>0983611684</t>
  </si>
  <si>
    <t>https://drive.google.com/open?id=158gDc5IfMRmmEu1BIFJlK9iTvNe1BunD, https://drive.google.com/open?id=1BpvY-Xs_Bhkp40qoAOySXJ22WswXM2sA, https://drive.google.com/open?id=1YByDKjyXxu2LXpM48XAWWmSDge3RvoiC, https://drive.google.com/open?id=1arMZSN-WxVfIAaFy7KnLlhsmnCBVnsfC, https://drive.google.com/open?id=1ZWHVOhaJoi66SxhE89WAWj5Ybvv0Xmv_</t>
  </si>
  <si>
    <t>cô Nghĩa</t>
  </si>
  <si>
    <t>0973813710</t>
  </si>
  <si>
    <t>https://drive.google.com/open?id=1DLtnjtwoJGgGoBdYUI5eT7BolfLRXT0D, https://drive.google.com/open?id=1untuNPiODvG34UuflgyLmBKUsKeYXRbx, https://drive.google.com/open?id=1WSmRGVMASxSINYO9PyF8e02mo6_1Jqkx, https://drive.google.com/open?id=1Kdk3mZddgbpt2q_UbaTuWoviY01_IaiC</t>
  </si>
  <si>
    <t>Lương Thanh Thủy</t>
  </si>
  <si>
    <t>0983773538</t>
  </si>
  <si>
    <t>https://drive.google.com/open?id=1n_PTsCogyH_JngZD-F9iMsJJAS5p6hPN, https://drive.google.com/open?id=1--a6Yo5RXtab8V32i0QN5ChE-rmUkqgs, https://drive.google.com/open?id=19WCDShDShZKxTFmy4PslA5WdeQgcWsFq, https://drive.google.com/open?id=1UfqOiewkzFFe7bAMfvPkPxr-NR2AtbOI, https://drive.google.com/open?id=16-eHf5hCtaYXAxBwdV1d0Bk0AWzu93IV</t>
  </si>
  <si>
    <t>K h sẽ tự thay ro sau vì họ báo mới thay</t>
  </si>
  <si>
    <t>Hồng Hà Yên Bái</t>
  </si>
  <si>
    <t>Thu Hương</t>
  </si>
  <si>
    <t>0972537800</t>
  </si>
  <si>
    <t>https://drive.google.com/open?id=1McHku0ddlwA5S7hTpPmzX1Ezx2kkp2fa, https://drive.google.com/open?id=1GtLzek81TCea7O_OEU9RcZ38VQrTfxN4, https://drive.google.com/open?id=1JLleolHNtV4-k_n6HuMuyq_Z9iL9aMPf</t>
  </si>
  <si>
    <t>Trương ái liên</t>
  </si>
  <si>
    <t>0915588882</t>
  </si>
  <si>
    <t>https://drive.google.com/open?id=1YuHWaP3POAX6QvsyN8_O2uT6j0m8ybN2, https://drive.google.com/open?id=1HChmIPUDVFkho4SoThhlIcPnoX36jjMs, https://drive.google.com/open?id=1_rTeU7ASmU_7HvwiE_tn_Q5dUQOqZLVv, https://drive.google.com/open?id=1vJkuvL6T8WqW6IhZQH3BgeLCgIpB9yR4, https://drive.google.com/open?id=1K5u9KUlbj6fKUE8_P0ggjfZvnBAygjXw</t>
  </si>
  <si>
    <t>Tiền mặt - 3465k</t>
  </si>
  <si>
    <t>Đỗ văn vinh</t>
  </si>
  <si>
    <t>0976528529</t>
  </si>
  <si>
    <t>https://drive.google.com/open?id=1yDSdDMQy9jr5FrbU66cfpVsN8ERwFSJo, https://drive.google.com/open?id=1BI-P4626A9pKnPiG5Dhw9tprFc8M5TJG, https://drive.google.com/open?id=1-z8RZiino3LgRroI51OhYQpO29Zv27LC</t>
  </si>
  <si>
    <t>0936361611</t>
  </si>
  <si>
    <t>https://drive.google.com/open?id=1Fs3WnYcd-rgnQjrUolrDIcE0pNpisZbW, https://drive.google.com/open?id=1qVbsy7-1cyF29-JmCilXfvnWQ9UhmZxX, https://drive.google.com/open?id=1zrLkHfbTmbcemOJVpL4RElNvViVDKOiI, https://drive.google.com/open?id=178pzZuAgBaJtJK4er4dsqo7olu2GN5yx, https://drive.google.com/open?id=1-xRmcgY63-e2NQIhaS-mBSWhvgYAF1Q9</t>
  </si>
  <si>
    <t>A chuyên</t>
  </si>
  <si>
    <t>0973742656</t>
  </si>
  <si>
    <t>https://drive.google.com/open?id=1tGBPBKILAO_tTPDtc_bZ8l0DWMNE6JET, https://drive.google.com/open?id=1W8D3yYG3-p_FN9gpCZNwn6gWNsf2m9Sf</t>
  </si>
  <si>
    <t>A Triều</t>
  </si>
  <si>
    <t>0961611986</t>
  </si>
  <si>
    <t>https://drive.google.com/open?id=1PhlJDJwATTGyTKgY7dW-93l3aBaSmXig, https://drive.google.com/open?id=1vzHTxApPRV7NJNcSmX8RDVu6K3yCG4Qj</t>
  </si>
  <si>
    <t>Sunny</t>
  </si>
  <si>
    <t>0976487489</t>
  </si>
  <si>
    <t>https://drive.google.com/open?id=1PdIaaGd-ZdrQGhmlNYFb-A_OmC7Jcomo, https://drive.google.com/open?id=1GXhlurJVLpVfUAyYuha3tUzCW4bqKtID</t>
  </si>
  <si>
    <t>Chú khải</t>
  </si>
  <si>
    <t>0913258289</t>
  </si>
  <si>
    <t>Vĩnh Phúc</t>
  </si>
  <si>
    <t>https://drive.google.com/open?id=15LoPXECqTPSPy0Q1Qw2nVAwh7mSVqMtT, https://drive.google.com/open?id=1ERFuT1U8O_47Gl704qs1h0zt9ATmfzTA, https://drive.google.com/open?id=1tA6t6ESSpGUz2hS53mwiKNcO5ZLLvtg7</t>
  </si>
  <si>
    <t>Đã giao k trả phí sip</t>
  </si>
  <si>
    <t>CÔ HỒNG</t>
  </si>
  <si>
    <t>0906806612</t>
  </si>
  <si>
    <t>https://drive.google.com/open?id=1l9wpNgUqzCThgh9hIwDpghKxXLZpwjaQ</t>
  </si>
  <si>
    <t>Hà Hoàng Hải</t>
  </si>
  <si>
    <t>0937453577</t>
  </si>
  <si>
    <t>https://drive.google.com/open?id=1icv1P9PGks7k-gouvkUcL_QAVzbt5tve</t>
  </si>
  <si>
    <t>Anh đạm</t>
  </si>
  <si>
    <t>0356505111</t>
  </si>
  <si>
    <t>https://drive.google.com/open?id=1V170kxi-aLc8SZJm__uITms97GzzRPD_, https://drive.google.com/open?id=1jFbQKG2agKLkwh57PP-4-F5o5W202HwX, https://drive.google.com/open?id=1yXWCZZGiJ78gFBfeX1IhK4NzkjscIo8B, https://drive.google.com/open?id=1hnrLBigIasb8LjOlcofxc3D26XCnC_6K, https://drive.google.com/open?id=1Ar6OHcpdTNx2ZQF1DV02aha2alnRqfqn</t>
  </si>
  <si>
    <t>Cô Huệ</t>
  </si>
  <si>
    <t>0919088808</t>
  </si>
  <si>
    <t>https://drive.google.com/open?id=14FKabWpqiH3ZYGRQLjL-cgmSTt8c7WVT, https://drive.google.com/open?id=11SoCS0P3TuUWy49KwgReRZNvD9_9KrlD, https://drive.google.com/open?id=1tzD5eestPnorXa-B1cGGZV0S4XpfH8ZO, https://drive.google.com/open?id=1MZKsHGnw4Hy1BM8VCCEAzcBb8ItKdAZO, https://drive.google.com/open?id=10QGkdQqtb3soOT71J4tFBcyyZFfb32iV</t>
  </si>
  <si>
    <t>Hoa Minh</t>
  </si>
  <si>
    <t>0905829682</t>
  </si>
  <si>
    <t>https://drive.google.com/open?id=1WVQOwtQREOxf_mowXHlqBxHSiS6FW2HQ, https://drive.google.com/open?id=147ZZszv3UlTIJSvT92O-66tKJTGksv8J, https://drive.google.com/open?id=1WT7ZX3ulcpJeC_5uDdbcI1qkEFVkZT64, https://drive.google.com/open?id=19sQx5HVnoDcJCLOR4c2jOLwyuZWeLnvI, https://drive.google.com/open?id=1IfTC-rU23sgsJNe4sFOcoaH5eOyAMiLp</t>
  </si>
  <si>
    <t>anh Giáp</t>
  </si>
  <si>
    <t>0376435557</t>
  </si>
  <si>
    <t>https://drive.google.com/open?id=1FGKuL1l839tgZLGYwDrH-H9fwoBvbxsk, https://drive.google.com/open?id=1kYs1qIlFCySGBhHsl_C3bAa1Jn3eFapv, https://drive.google.com/open?id=1RAZLmMOq8Tz8l9WM09EADRXv0r2Cy6nG, https://drive.google.com/open?id=19JKVSxDwI5HUFiA_XAa8nBukrlssYhe_, https://drive.google.com/open?id=16oSV6rq1cnThhvyRu5tIaXGn81Fv3kLh</t>
  </si>
  <si>
    <t>0912069114</t>
  </si>
  <si>
    <t>https://drive.google.com/open?id=1AFlEn1ajjk6WPi7NQsU-qWw5hU4aXKt6, https://drive.google.com/open?id=15vV9QuSpNggpgmQcBmZnTGoRl3aUkTrL, https://drive.google.com/open?id=1OqAoaBz9__otOVb-qWm6fUmvBjJNmicX, https://drive.google.com/open?id=1R32D-k2T2glePsK9JbremzIGB-aysi54, https://drive.google.com/open?id=1NxvuHBtGEbZBoWr3-OgifxklAH2hlXDX</t>
  </si>
  <si>
    <t>Nhà k.h mất điện</t>
  </si>
  <si>
    <t>0933946697</t>
  </si>
  <si>
    <t>https://drive.google.com/open?id=1RNHx_i5lbZ6UNk0wK2TCRx2us8ipAOw7, https://drive.google.com/open?id=1xhtUiP62Sj4TjuMnYtPe2DBoNeHJ_gVQ, https://drive.google.com/open?id=1JTBEIGfuK_XJMbltgPbppv43_Gjlhe0k, https://drive.google.com/open?id=1AJUT0xTWJDrPZIepGgjvCfIkEq3LcAmn, https://drive.google.com/open?id=1Lv0ekgxGAjoyX05e9B9RqAowLQfCvS9b</t>
  </si>
  <si>
    <t>0962052706</t>
  </si>
  <si>
    <t>https://drive.google.com/open?id=1SI6P4cYwo3agbP7R9uh8ft5_OogIs2Z9, https://drive.google.com/open?id=1o4yubY6JFEDKuopA1ba1K6wdzKLRXRHy, https://drive.google.com/open?id=1GU7ZOak-OXNnXkDyvBKeQb1t_lTBcBJX, https://drive.google.com/open?id=1nn067iF4E4wlyOCgxPJNcvLU80Pp4tPl, https://drive.google.com/open?id=1ZwNTuymxf9Dt5ykOwQLsmivdlKIUPQTa</t>
  </si>
  <si>
    <t>K.h ko muốn làm bảo hành lọc</t>
  </si>
  <si>
    <t>0906279799</t>
  </si>
  <si>
    <t>https://drive.google.com/open?id=1n0EWdEH4j4-AcOJmq7rbae9t09GjodJW, https://drive.google.com/open?id=1jNRJZ_ybfrBCC2u8S5ZKDWkrNzqUZQ1u, https://drive.google.com/open?id=1z_TMbNSjLNoDyicaYBoGx9dLbSTLQTGF, https://drive.google.com/open?id=1Y8MrmW7fIc2-8ppEhVQR-WMldRtidVRK, https://drive.google.com/open?id=1NiwmSqhA6_nmE_LTuVmPrkh9039TOSR1</t>
  </si>
  <si>
    <t>Bảo hành máy k thay linh kiện j</t>
  </si>
  <si>
    <t>Chị xuấn</t>
  </si>
  <si>
    <t>0357484345</t>
  </si>
  <si>
    <t>https://drive.google.com/open?id=190krmE1fnFjK50E718F43CXC_OK3BJWL, https://drive.google.com/open?id=18zgk--xLwlQb0XiTQ_Ub9hWda_-hKvCJ, https://drive.google.com/open?id=1Z8nKEIJUSkBP2thCF6Gukr6tCAiIVUow, https://drive.google.com/open?id=14a_8E8umWnFczYlBPpuPOWdmsW63q21q</t>
  </si>
  <si>
    <t>Phương Trần</t>
  </si>
  <si>
    <t>0917189036</t>
  </si>
  <si>
    <t>https://drive.google.com/open?id=11Ob_Ifkh_gZz5VW-7fSougwNXRZ-5YPl, https://drive.google.com/open?id=14c-XtYYNLIiPi7_Q2XCqCqWEOSqHdVXX, https://drive.google.com/open?id=1LSYTn7x8NsN43DkFkAEt8RQ_SYFlwO8M, https://drive.google.com/open?id=1XDpXjy_1f5T_qSZ_i8B0_4j59uXGRHdI, https://drive.google.com/open?id=19wrVUPKmmSZRXKsiDzE6xfCaxcelIBDa</t>
  </si>
  <si>
    <t>0977809727</t>
  </si>
  <si>
    <t>https://drive.google.com/open?id=1StQqKN9YijPSiGtf_aXvF7t3xqASlqVc, https://drive.google.com/open?id=1GmO8soiC1CnK1G1YV98vMY2JBXvHjRN7, https://drive.google.com/open?id=1L_fUiBuEGJvkii90vNrpodXSyMpniuou, https://drive.google.com/open?id=1cti5XyZ55n0ZS0fyQXDt-hyOpApUwH8v, https://drive.google.com/open?id=1Q9x9w1oxg9Zm5weS_8PmOEMcivSkxjiS</t>
  </si>
  <si>
    <t>A cuong</t>
  </si>
  <si>
    <t>0937665059</t>
  </si>
  <si>
    <t>https://drive.google.com/open?id=1snX197CK3rcd4fT8Hc7pNHc-rFuBI4_I, https://drive.google.com/open?id=1fFU1exirEhf_bUk6YfNvwzEqmxeMzSbQ, https://drive.google.com/open?id=1UqBF6coCWumyCkhMUdGVu5d-so05xZd7, https://drive.google.com/open?id=1A9a_zzXORc9r3fk-Z4f8RaizE_qfTl12, https://drive.google.com/open?id=1IB3aa_uv_3EOmRuIslVxj6CAKhebsRb9</t>
  </si>
  <si>
    <t>Mai dung</t>
  </si>
  <si>
    <t>0932230246</t>
  </si>
  <si>
    <t>https://drive.google.com/open?id=12uaY8ZdnHQHL7j_pbSZ1l6EeFMUI9pJD, https://drive.google.com/open?id=1CTvbpiKtVDab2f9XBvhUGtbFZvQOA8UB, https://drive.google.com/open?id=1w9TCc1uH6YT6ZgS761dR8nycOxgcG8IC, https://drive.google.com/open?id=1din3p6tEjwpmSRmG_d85CaJJJtUbv16W, https://drive.google.com/open?id=1q_amNnOiU5p5qt9lSsQzqWyv9nw5EXMz</t>
  </si>
  <si>
    <t>Ngô lan Phương</t>
  </si>
  <si>
    <t>0972856452</t>
  </si>
  <si>
    <t>https://drive.google.com/open?id=1788wZHscNWIHN_p7aRqtHn-uqH5Osb6e, https://drive.google.com/open?id=1Lxw6FzVpE65VZRwbr40UkkygYjaO-7Uk, https://drive.google.com/open?id=1Y3hU128dS0869oB0te6ymdYYQ3x4LMr9, https://drive.google.com/open?id=1Aa3eyxcQ2XygwDnsvg0UFLdq47xMPsyN, https://drive.google.com/open?id=1Q0gGBZoHdxsMlh-SYp3PX11nPjshWmCN</t>
  </si>
  <si>
    <t>0901329669</t>
  </si>
  <si>
    <t>https://drive.google.com/open?id=1eiXINZzy-cmN9eTOw1-56yYQ_4Egih1t, https://drive.google.com/open?id=1ykgqOanQ9BJsYqin7PJKyp-29HdVAzpX, https://drive.google.com/open?id=102EPq4IZVIGkTyN5nuwQ-75rbYZ1Hggt, https://drive.google.com/open?id=1zAOJAwK3YUpUOtfdU0S2sGMKfwF1ODMK</t>
  </si>
  <si>
    <t>098 5130239</t>
  </si>
  <si>
    <t>Lõi lọc RO Truliva UR5840, Lõi lọc PGP Delica UR5640/UR5440, Lõi lọc CTO Delica UR5640/UR5440, Lõi lọc RO Delica UR5640</t>
  </si>
  <si>
    <t>https://drive.google.com/open?id=1RqkVJGAZ9pDcigpRLedjVRiPoBDYAALe, https://drive.google.com/open?id=1i0RpE4WPX2O1uN0BO_DZybM2kkaFyoJO, https://drive.google.com/open?id=1T9sCl1W2gYCdbEt070-i9ivwuclPsLIE</t>
  </si>
  <si>
    <t>Đã trả cước xe 90 k</t>
  </si>
  <si>
    <t>Mai anh</t>
  </si>
  <si>
    <t>Máy lọc không khí Airplus KJ260</t>
  </si>
  <si>
    <t>https://drive.google.com/open?id=1D1kic8XK_mCInLA6Vr7PbWAAULfRPulp, https://drive.google.com/open?id=1v2Zq0cFt4B5fUwYk7axy3LU82x_eIAKc, https://drive.google.com/open?id=1fDUoZYbC9lqI4jr2oO67MOP0DtSDu1kP, https://drive.google.com/open?id=1FXNoTGqHdIkJ7gV9HqZAORMssXa-pQeN</t>
  </si>
  <si>
    <t>Đã giao tt cước 30k</t>
  </si>
  <si>
    <t>Chị Chúc</t>
  </si>
  <si>
    <t>0973434224</t>
  </si>
  <si>
    <t>https://drive.google.com/open?id=1eLWFxSA4Mxm_SSnSuzNU2vAkmhQGFhm8, https://drive.google.com/open?id=1oivOf5vk1Xc9vgP-1df2vtmSqwWF9Qbe, https://drive.google.com/open?id=1x5p2BIUh0kfJu8Xu1pQ0kREooSgmEDdd, https://drive.google.com/open?id=1b6W6P1N-IGeyI3JXS2LPTTnjHA5c9Qym, https://drive.google.com/open?id=1KFmfqomNZKerCn0DmvuuhW-wLFgN6kCz</t>
  </si>
  <si>
    <t>Thu hiền</t>
  </si>
  <si>
    <t>0869220283</t>
  </si>
  <si>
    <t>https://drive.google.com/open?id=1o_-ppe059P_fVjGX6xBRYF4ARnPYNVpe, https://drive.google.com/open?id=1_pTxNjGaXOcxWVtoDwaIReejqT1g6Rb1, https://drive.google.com/open?id=1GBU8gTUEb7_1fi9UfEbIA49ZF3OB9hZN, https://drive.google.com/open?id=1aA884RxtSGJilz4MvDI2CTHxdHn2fK7I</t>
  </si>
  <si>
    <t>Chị Bích</t>
  </si>
  <si>
    <t>0967887258</t>
  </si>
  <si>
    <t>https://drive.google.com/open?id=16bKAysEKNdEf50xT5BnPz-MQ9eWZn3nX, https://drive.google.com/open?id=1Os3tEU9hE9cNYAm7C874OqSnhOS6WZuP, https://drive.google.com/open?id=1kLSvGf49ZqLy60QJqG3tEhx9JPqcmy9B, https://drive.google.com/open?id=1PSKrwSsaAQ0og7XRRnKAoJ62amXbtN10</t>
  </si>
  <si>
    <t>Mình Tuấn</t>
  </si>
  <si>
    <t>0975109009</t>
  </si>
  <si>
    <t>https://drive.google.com/open?id=1a4_nr-8I4pALn7y0eehCAOK2-KuTPn9i, https://drive.google.com/open?id=1d4FMu4KHNNjE7bcX6TaK1fzasSD9p9KA, https://drive.google.com/open?id=1-49pE4I4q26EtS4sDuuPY_42zOjxADJY, https://drive.google.com/open?id=1YfXDGRQihF1izRttntGZhb8ZR5A5D6YF, https://drive.google.com/open?id=19bnVn-2ss3S_7qtWFwc0mMax0hoCcUz_</t>
  </si>
  <si>
    <t>Ca trước đi 50km chưa tính, tính cho tháng 5</t>
  </si>
  <si>
    <t xml:space="preserve">Tuy Duyên </t>
  </si>
  <si>
    <t>0963650375</t>
  </si>
  <si>
    <t>https://drive.google.com/open?id=1aIZAx99zMezCdAtMXwGd2uGFGWs9SJ2J, https://drive.google.com/open?id=1iay0i13dF23K4baHH6XiSNtcl9g7uvS-, https://drive.google.com/open?id=1I4kAQHQyEogyT85miHCSzycKQEO3F9zz, https://drive.google.com/open?id=1PlF_WpXlHkLB7wOYVbbTsaUEBWy9EUf8, https://drive.google.com/open?id=1L59OOkAoRBUnvqCPtuMESkey5ZEy9Rjo</t>
  </si>
  <si>
    <t xml:space="preserve">Đã hoàn thành ca lắp đặt </t>
  </si>
  <si>
    <t>Thức</t>
  </si>
  <si>
    <t>0981655387</t>
  </si>
  <si>
    <t>https://drive.google.com/open?id=1jpby18rWyYL6zGUIYqJlFhapM0rE2LZt, https://drive.google.com/open?id=1R51ywmUe1Pk8mbgiRHuxJ-QFXYaUIAGv, https://drive.google.com/open?id=1QUPgq_XHbuWfXGEYYskW16qr9uAL0JUP, https://drive.google.com/open?id=1_H2KalsGI-r0niNXfw1Qpqghp9WYaCdk, https://drive.google.com/open?id=1K8K3DDD-Z0S9IJ2T-UWEJTv4NrrD0K0H</t>
  </si>
  <si>
    <t>Địch</t>
  </si>
  <si>
    <t>0983130104</t>
  </si>
  <si>
    <t>https://drive.google.com/open?id=1R721zqhp9HVzruN96tyiYilznhQ7Obyx, https://drive.google.com/open?id=1Lq6aeBHf8DewsTFVdiGjAp6B4kwM5cQ-, https://drive.google.com/open?id=1P_71NEn_cD7oBkquEVob__2D40gIpHtt, https://drive.google.com/open?id=1DJmnzGEGlp30wW9o2O5KZQCn3rW2aKR6, https://drive.google.com/open?id=1kLSN03u83RdA4v7OFJACb4sROE1tUafA</t>
  </si>
  <si>
    <t>0962402757</t>
  </si>
  <si>
    <t>https://drive.google.com/open?id=1fF8jkHg6raVKMSRjtqB9exlRVz0jy7Du, https://drive.google.com/open?id=1O5wcP4W69sgu-4O_w197bI0xA5C2NG4B, https://drive.google.com/open?id=1RkaVoIJZo1lnWMuXfEdY5MnHUUFos9Jb, https://drive.google.com/open?id=1N9m6I-fb9uVkL735vKRYynRm2gcakM9n, https://drive.google.com/open?id=1SoXXbeOFVAQyFPRHEaqBZqu0bdanzv5h</t>
  </si>
  <si>
    <t>0926746696</t>
  </si>
  <si>
    <t>https://drive.google.com/open?id=1F_4TPh_lj4UBy0nyS2qulotn3XGEoMwx, https://drive.google.com/open?id=1Jf-bFdPjt9srewIGyP7AFkqInCwzqlpr, https://drive.google.com/open?id=1nB17YDEIqXMBehU0h0fZMLB-ehGeiIen, https://drive.google.com/open?id=1vQUmi9y37XXucAtUAH2NaaS-D4ctrXNP, https://drive.google.com/open?id=1PhJgJhSpwS5Ab4-0HB23UKf5HRglnYnd</t>
  </si>
  <si>
    <t>Đoàn Văn Tuấn</t>
  </si>
  <si>
    <t>https://drive.google.com/open?id=1IU7lsvW3Ss2wJbUbv1j8UB1WFI3-kAwW, https://drive.google.com/open?id=1akd8FZTVWC9RLC_Ic022DEF_ElqAHvrl, https://drive.google.com/open?id=12-X6IxyPKOS76u7C7jyanYbkdp3YtrVD, https://drive.google.com/open?id=1BrRZok8CDN8Q3foeA4WzxeN2bRdT8M8q, https://drive.google.com/open?id=1j0T3vKm7S9LYcQSf0XmyZ9OoLNdS5a15</t>
  </si>
  <si>
    <t>Ca bảo hành, ktv ko thu tiền</t>
  </si>
  <si>
    <t>A hưng vinadu</t>
  </si>
  <si>
    <t>098 3482194</t>
  </si>
  <si>
    <t>https://drive.google.com/open?id=1WeMUa3jcmdvoQMueA_7rvAA6oDrqETam, https://drive.google.com/open?id=1I2y_cMehw7Bq-5jRewVh40hqZduOdhRB, https://drive.google.com/open?id=1pIOZF25pobw3G_pDRPneokgL2acrbMjX</t>
  </si>
  <si>
    <t>Đã giao hàng tt tiền cước xe 300k</t>
  </si>
  <si>
    <t>Chị Hắng</t>
  </si>
  <si>
    <t>0772994445</t>
  </si>
  <si>
    <t>https://drive.google.com/open?id=1BUjDIyJ64eb9sF0KafBfswHpvaSmrAEH, https://drive.google.com/open?id=1oJ_R_6loN1bB2l-v0BMv32nBpKOwjh9T, https://drive.google.com/open?id=1_6gY50x-JhRn-Etn8rHlD9s75GDTQl75, https://drive.google.com/open?id=1o82ji3Icn93zliUsz5qv_iPm6xjRhWgE</t>
  </si>
  <si>
    <t>Anh Công</t>
  </si>
  <si>
    <t>0988955333</t>
  </si>
  <si>
    <t>https://drive.google.com/open?id=1EhEfCq5wTZEzfKWV7jce_p8Iwjcy9omj, https://drive.google.com/open?id=1l0GrFVTiF3PUP2LbzhArfheiThxIRiaU, https://drive.google.com/open?id=1A3AChCLNJ52tE8HLfAre-Q2XL2NL44bZ, https://drive.google.com/open?id=16zC1zi5VskRY_Q9pHgtiid4XLToUrj6-, https://drive.google.com/open?id=15D3gqmjRlrSRo0XCqeoSFY0rzOLMOSsR</t>
  </si>
  <si>
    <t>0902399416</t>
  </si>
  <si>
    <t>https://drive.google.com/open?id=1s_ZV93cxClvDcA2QTnY5xBMmmRDSx0hr, https://drive.google.com/open?id=13BcF6CQ4ysNFJ0jcVUJ33ps6hFwHPlRR, https://drive.google.com/open?id=1uqbGycUpxQFHFj8vtLEnelZyOXVMNXPe, https://drive.google.com/open?id=1-3oEhhMkBmuuJoP3v0TdorwuBGgivArc, https://drive.google.com/open?id=1AQmGsSTs5wnmLjfikVENSic2ewhxsvlv</t>
  </si>
  <si>
    <t>Tiền mặt 1360k</t>
  </si>
  <si>
    <t>A.Trung</t>
  </si>
  <si>
    <t>0908208147</t>
  </si>
  <si>
    <t>https://drive.google.com/open?id=1B1whNZiF7ua6aF69GMEBQQBxYwSQdwD3, https://drive.google.com/open?id=12G_HeoEcHmJ_wZgSMNHoV2Gh_HMYef-Z, https://drive.google.com/open?id=1lWyHkgr56Ty9-0ieWpzDHavyU20ksgs3, https://drive.google.com/open?id=1QO-0yO9pzqlT7kiqf581s9MoUb2mgQWe, https://drive.google.com/open?id=1pGJ_vdKpQ7OOKgDO0zc6HE-loFPehEqq</t>
  </si>
  <si>
    <t>Tiền mặt 1540k</t>
  </si>
  <si>
    <t xml:space="preserve">Chị Thanh </t>
  </si>
  <si>
    <t>Thay đổi vị trí lắp đặt</t>
  </si>
  <si>
    <t>https://drive.google.com/open?id=16ANKHR6Lbcz1sYxBw9MFxig590bRlfcq, https://drive.google.com/open?id=1RIQGE_p37LlVQkWgWY3zMT4mrc58BOvy, https://drive.google.com/open?id=1_1mbHPyIAmXXrm7sEa2F-mK79QA1FP9-, https://drive.google.com/open?id=18HGSLn_DtKxzVz7rTa9LmlmWWGclPGIP, https://drive.google.com/open?id=1HqlCTynX2OsldJ05Ld6dJQgONgotqOHH</t>
  </si>
  <si>
    <t>Chuyển khoản thu 390k khách chuyển 600k</t>
  </si>
  <si>
    <t>Chị Liên</t>
  </si>
  <si>
    <t>0977702709</t>
  </si>
  <si>
    <t>https://drive.google.com/open?id=1WVD4DQPtS0q9gq4b06SXpZlAeYRb8hUD, https://drive.google.com/open?id=1M3CxDO_MjFOxJr0UcveknQuYUmvknkMW, https://drive.google.com/open?id=1Gs1_zPW5cBb3Asc6ZV1EAg5NgbGvVjzc, https://drive.google.com/open?id=1cgeObDPq0Jdvix1yGXjHYaAzeZmgj_4P, https://drive.google.com/open?id=1Wga4sYy_QP5u-8ZAXfFwRqS4LVsNm9JD</t>
  </si>
  <si>
    <t>Khách đã chuyển khoản CT 1405k</t>
  </si>
  <si>
    <t>Anh Tâm</t>
  </si>
  <si>
    <t>0979746846</t>
  </si>
  <si>
    <t>https://drive.google.com/open?id=1pcjoVP_wsHOvVQjN4_t_S_CbmZ5z50oY, https://drive.google.com/open?id=1k2MZtfcfanuQueZmrHu4z742a35Vcoco, https://drive.google.com/open?id=11PLU4tagZqN41eekcltbpf83Gl2Jqvnc, https://drive.google.com/open?id=1wSK84VfpfHoK5A90agPABvTHFk8uikHl, https://drive.google.com/open?id=1F414AtpXzWQizrbZvD7Bn0JBQxqBugxp</t>
  </si>
  <si>
    <t>Bảo Uyên</t>
  </si>
  <si>
    <t>0938825024</t>
  </si>
  <si>
    <t>https://drive.google.com/open?id=1QvdIwrAUQO5YxPkLa0UzlsO6xHDuhFIO, https://drive.google.com/open?id=1DeUsCfhr0DERjiRHdsz70rxK9A7LmUgH, https://drive.google.com/open?id=1UL6qiaC4SQLS0z-sb_4wZhdAJqNKDjFv</t>
  </si>
  <si>
    <t>Giao hàng cho khách nhà A1.3208 eratown quận 7</t>
  </si>
  <si>
    <t>anh Thuần</t>
  </si>
  <si>
    <t>0938593577</t>
  </si>
  <si>
    <t>https://drive.google.com/open?id=12S8jTayl0XCQvmzhhVZ9-roUuyAPFny8</t>
  </si>
  <si>
    <t>Anh Hiển</t>
  </si>
  <si>
    <t>0977255245</t>
  </si>
  <si>
    <t>https://drive.google.com/open?id=1yCgAcR-pdOVYDzrdJ9AJpAr3vvsG9OM2, https://drive.google.com/open?id=1Ge83aqHG61NvuLMsRh0-nXPylTwpYmyk, https://drive.google.com/open?id=17m26gNizbS-4x5e7tX58_QhTAnGbMFXR, https://drive.google.com/open?id=1cxH5-TsiLFpAkANgxCS-BIo2fFoISwgw, https://drive.google.com/open?id=19Pw7P9D7MvmaW2GEYYR9e8n0xI_t5Upp</t>
  </si>
  <si>
    <t>Khách hàng chuyển tiền vào tk cty</t>
  </si>
  <si>
    <t>Chị Huệ</t>
  </si>
  <si>
    <t>0942025529</t>
  </si>
  <si>
    <t>https://drive.google.com/open?id=1ZCHMsfEEJaOie6kvGKdHfy6kwpaDWLjZ, https://drive.google.com/open?id=1Fwemdr9dzwXSqEQo-4B0EyodWyy_17-I, https://drive.google.com/open?id=186g9nKvqCkyypmhrYWjbax6jHrERcRbF, https://drive.google.com/open?id=1LSAMPZXXPUEuV4NtM7LF67GeDBb34GkW, https://drive.google.com/open?id=1aKBudHjwCwRa9Iz_YebFxhmizKAXFy1i</t>
  </si>
  <si>
    <t>KTV chuyen tien vào tk cty (8/5/2026)</t>
  </si>
  <si>
    <t xml:space="preserve">Chị Hoài </t>
  </si>
  <si>
    <t>0333888496</t>
  </si>
  <si>
    <t>https://drive.google.com/open?id=1zVO1oMZLulZykgAgfuexYgJpPcRrqaU_, https://drive.google.com/open?id=1Jo192quldqurdnmEskS_vjWxkK3zuE_H, https://drive.google.com/open?id=11GKsVr3tg6iR_nxx5KWLe2QjO7-iSPTu, https://drive.google.com/open?id=1o570X-_HB9U2fY875iqZaPXOAPUfC57F, ahttps://drive.google.com/open?id=1dv3_LX3wXqfj5JrPAsSN_ctyxvFfa-Mo</t>
  </si>
  <si>
    <t>Giao lap</t>
  </si>
  <si>
    <t>Chị Thi</t>
  </si>
  <si>
    <t>0903349362</t>
  </si>
  <si>
    <t>https://drive.google.com/open?id=17TntRWMteG9Znl04dmW9oNJGCMKkwPvo, https://drive.google.com/open?id=14EeGobKT-8g9UcK7FCyarP9HL-lgKrG6, https://drive.google.com/open?id=1efBPWgEiQe_ecKDLl_MW1qyBqA9INtG8, https://drive.google.com/open?id=1MHBRr_1oxszBPHSpNQ1y9KzisHFgDE3D, https://drive.google.com/open?id=1PgqIl0sgiByn0NGimeqqwcgS5PB5Fe7D</t>
  </si>
  <si>
    <t xml:space="preserve">Nhà khách chưa hoàn thiện nên lắp và test nước tạm cho khách </t>
  </si>
  <si>
    <t>Nguyễn Minh Thuận</t>
  </si>
  <si>
    <t>0939332263</t>
  </si>
  <si>
    <t>https://drive.google.com/open?id=1kvopPDadPxkLbJ00krb11zmT6cEvsmec, https://drive.google.com/open?id=1JF1FqWNUCwCpn7VYtvc1F7q-qfvxhu3y, https://drive.google.com/open?id=1hbSX5MvcdRJ7uGxrPebN7t_ugEfGHSHf</t>
  </si>
  <si>
    <t>0938626677</t>
  </si>
  <si>
    <t>https://drive.google.com/open?id=1FImRcIvF7MJbHvAUwIUqIbgrlnZJxSnW, https://drive.google.com/open?id=1idl0WMth9wHT12kkDz7ZFgj2kzGtPV5d, https://drive.google.com/open?id=1eqR6qLWul_UN4iqxnicVQk-yuRXAaV1u, https://drive.google.com/open?id=19uer2Mm9efBlPfLpnTQPp2fl-4vqQ3mq, https://drive.google.com/open?id=1JzUMh1fSP_tUCPOaGy7XfHiZQf4p3q0t</t>
  </si>
  <si>
    <t xml:space="preserve">Khôi </t>
  </si>
  <si>
    <t>0911988823</t>
  </si>
  <si>
    <t>https://drive.google.com/open?id=1PfjGDxR4T19ve_3Rvj6rQ60vAW9lPnuf, https://drive.google.com/open?id=1pr_He0_2VozhWSvbH5TgfT2TIO54SQQV, https://drive.google.com/open?id=1HGa5kEgtvDUBRQgpuUkqe0_qCRkN5K1s, https://drive.google.com/open?id=1TlTj-1hNpQLI3-rxxVMYUfCI9rEqyN10, https://drive.google.com/open?id=1pj_8jRynzA4NK6pHJn4aiwOyD_DPoeMG</t>
  </si>
  <si>
    <t>0905667858</t>
  </si>
  <si>
    <t>https://drive.google.com/open?id=1TIENTAjjUC_5wJyMl5Fhzot4Te3YX-Ic, https://drive.google.com/open?id=1ucjk1u6aLPO-rMov4zHU8ziJgVorRtIp, https://drive.google.com/open?id=1hXZJBS3Psz2Ll_6xZ3H4t58ZQ1Ooov96, https://drive.google.com/open?id=142vogbsAL-lnH74Scx1UnbNMlG_Kl45e, https://drive.google.com/open?id=10HSxXq-9kHRNaxDy5M014DWk0pataNQv</t>
  </si>
  <si>
    <t>hoàn thành lắp đặt , máy HĐBT</t>
  </si>
  <si>
    <t>https://drive.google.com/open?id=1snG8WYSJYUhyLqZ6fGaKDHTf-7MnR-N4, https://drive.google.com/open?id=1OPpEm0GyeqUeLu8K4sEUiFnZ7Hrnz_ZL, https://drive.google.com/open?id=1ghBmieFlWjPZ3E1BkZ8n7u4GW7HnYFQM, https://drive.google.com/open?id=13nhE4_hdeECHpgMLc-0x3kMhkJaNlgdT, https://drive.google.com/open?id=1hv17DDKOE0mSWXNmBXNZh8HJMg-fUEgQ</t>
  </si>
  <si>
    <t xml:space="preserve">Đào Bích Ngọc </t>
  </si>
  <si>
    <t>0904682014</t>
  </si>
  <si>
    <t>https://drive.google.com/open?id=14xUfmXNirWYKU-AffF-DVWxHP8N0cllM, https://drive.google.com/open?id=1V80ESxIObkfdX7aT-O-K_J3jdQ5Ixks4, https://drive.google.com/open?id=1DXOAoEIAaAA2gePjXtTuAGhs54F485jd, https://drive.google.com/open?id=1IEouKFc-ZGiCyWcjpURCZgxzyRFyMGk3</t>
  </si>
  <si>
    <t>Thái hương</t>
  </si>
  <si>
    <t>Lõi lọc PCB Truliva UR61096H</t>
  </si>
  <si>
    <t>https://drive.google.com/open?id=1JZw9R0N39XaONE3v2VKU9y4GjC071zQB, https://drive.google.com/open?id=1cukJKsLuF2uZuSthcwJiMJSGU-Tp20yb, https://drive.google.com/open?id=1Jicvfzfm5LsOewaKQ3JjCWpH747TJHz8</t>
  </si>
  <si>
    <t>Đã tt tiền cước vc 65k</t>
  </si>
  <si>
    <t>https://drive.google.com/open?id=1uNPVUxDYLuXbcKCnu3fZUyeEz7RKgiR5, https://drive.google.com/open?id=1ye5AYPZaAoN3wUUgkZ-RPxdzxRHtgFO6</t>
  </si>
  <si>
    <t>ANH LÂN</t>
  </si>
  <si>
    <t>https://drive.google.com/open?id=1qDKVaT1zc22dY8IytVNNBYbY3WX3O1z3, https://drive.google.com/open?id=1zf-Y44qTOjSHxJturaG5JUhDHEqhwp1l, https://drive.google.com/open?id=17a7g1TvtSMyq7k-TgnsWgSCfxXIl7Msp, https://drive.google.com/open?id=1pgzh4M3AlnubzxFEiHzMYCY1rrdttEuW, https://drive.google.com/open?id=1-c_unhUl2_VivQrJHE_y-M74xUgTKz7U</t>
  </si>
  <si>
    <t xml:space="preserve">Thay vòi BH , cho khách theo dõi thêm </t>
  </si>
  <si>
    <t>Anh Phát</t>
  </si>
  <si>
    <t>0989757736</t>
  </si>
  <si>
    <t>Lõi lọc PGP Delica UR5640/UR5440</t>
  </si>
  <si>
    <t>https://drive.google.com/open?id=1XKn76vQPDsNbi4t0gQfnsw8LnPYpnATN, https://drive.google.com/open?id=1GDYGfxP467E1plkRga1x0xVazQ-klvhw, https://drive.google.com/open?id=1qo75BV3rGihGCyIMvucBFuam0dF41p_S, https://drive.google.com/open?id=1iTb-FWnA9_YRKklL_-kTex7ZbdPBU4r1</t>
  </si>
  <si>
    <t>1398250302500056</t>
  </si>
  <si>
    <t>0906516069</t>
  </si>
  <si>
    <t>https://drive.google.com/open?id=1jM3Gdccf1XJi4VVFGT0G3uepcnNqdUG1, https://drive.google.com/open?id=1tbQtLqMoUsfaOJRJS5LEoEJRB1OeJWeO, https://drive.google.com/open?id=1mY1xfuTIXdN5H32AVDJGYsHhVyfcjxi8, https://drive.google.com/open?id=1sjtX_PvcRBH5vx7k7Ke6ep9McuzX0Lft, https://drive.google.com/open?id=1cy-xcajhYNhiLzJgIkGTrvRTuFSGIF3r</t>
  </si>
  <si>
    <t>Chị nhi</t>
  </si>
  <si>
    <t>0918491436</t>
  </si>
  <si>
    <t>https://drive.google.com/open?id=1MGCUt6gtlSD5H6RYWjra4lXYByok_gcJ, https://drive.google.com/open?id=1B9mkxoIAcL2gysOWEucMYz36mqdSVSql, https://drive.google.com/open?id=1_aVCwOpY1b7PN6qMO-qKdcjffYbQf7dZ</t>
  </si>
  <si>
    <t xml:space="preserve">Quỳnh Hương </t>
  </si>
  <si>
    <t>0989689988</t>
  </si>
  <si>
    <t>Máy lọc nước Truliva UR5840, Lõi lọc PGP Truliva UR5840, Lõi lọc CTO Truliva UR5840, Lõi lọc RO Truliva UR5840</t>
  </si>
  <si>
    <t>https://drive.google.com/open?id=14WEoabScAm0SPHGnVCnF_XOYCVht0zR8, https://drive.google.com/open?id=1SmoxUwWNb9x8hYL-_r5t6-JHOqVVuWqj, https://drive.google.com/open?id=1dVUs09pRfkZWQxatNLo0t7DWwTR6_LVR, https://drive.google.com/open?id=1QiG97BrtHe8VpDEw0hsNlGIeZzzMQKDZ, https://drive.google.com/open?id=1H0CPbrTi7bplwkpIM8xS5kBKf2u4cvpx</t>
  </si>
  <si>
    <t>https://drive.google.com/open?id=173gUbkffO9n13bALWwm93vM1OTs_416v, https://drive.google.com/open?id=1ZiUGeLaDwWIri9SzF7zLIJeqwv5a3QQ6, https://drive.google.com/open?id=1ylKjymspxTdt4sNg8IK83arVuXqrZAHy, https://drive.google.com/open?id=1x2KAc8ip5MZ5OsKW-QdgFDHIUalZbf7e, https://drive.google.com/open?id=1drUNjoBQcd-UI761WEDCI8FeKCcrUdam</t>
  </si>
  <si>
    <t>chị My</t>
  </si>
  <si>
    <t>0936735949</t>
  </si>
  <si>
    <t>https://drive.google.com/open?id=1qNdbrUJKHUQNnQspNTo4oNukpgiPCP6z, https://drive.google.com/open?id=1-YCy_XevSYkfKk2QdYEy1YH41wMRK5Tt, https://drive.google.com/open?id=1OXcKf3g-JAWZ8hWtb1ByA6mWCr4BrwQ_, https://drive.google.com/open?id=1bil3MDNONaYUjci57-CQqpWMsowPZIhq, https://drive.google.com/open?id=1GqtOzZEkBeHN1dPDe1F_o5kUAesRtc2G</t>
  </si>
  <si>
    <t>Bảo Trân</t>
  </si>
  <si>
    <t>0989931532</t>
  </si>
  <si>
    <t>https://drive.google.com/open?id=1G0QQvhAYHnqDDejjQ37LVEAeBVf7Cjrz, https://drive.google.com/open?id=1FMMq2fcZ6D4mafs1_uluLVZNFS8KeTwX, https://drive.google.com/open?id=1lO7R4kJNkGQhXJNHlIZ-hN5xR7bYTjnG, https://drive.google.com/open?id=17s2f7gy5ByO37YNADT3eDgZfUPehfABF, https://drive.google.com/open?id=1bxT9y7dc0uNLvHEMTXcV9sSETaB2Ue2N</t>
  </si>
  <si>
    <t>chị Dung</t>
  </si>
  <si>
    <t>0933553955</t>
  </si>
  <si>
    <t>Lõi lọc CTO Truliva UR5676/UR5640/UR5440, Lõi lọc RO Truliva UR5676/UR5640, Lõi lọc RO Delica UR5640</t>
  </si>
  <si>
    <t>https://drive.google.com/open?id=1MD9fq7tmEiXZ9ifhuFisr8gATxm4J2qX, https://drive.google.com/open?id=12NBNwDjK8E60FscfldOEuk3P8KZuUC7P, https://drive.google.com/open?id=1D7zbzYGfRIj8mdw7F1R3yB8ItjMv7PB4, https://drive.google.com/open?id=1_-GERyU26XA8fLhoUQNrNLeqSZD87C0n, https://drive.google.com/open?id=1026RLkLxPbjp2MsvGlQZ7XijitUJDA27</t>
  </si>
  <si>
    <t>anh Thường</t>
  </si>
  <si>
    <t>0365867461</t>
  </si>
  <si>
    <t>Máy lọc nước Truliva UR5676, Máy nóng lạnh treo tường Truliva W6412</t>
  </si>
  <si>
    <t>https://drive.google.com/open?id=12RlgRpt7TovRrXWvKRGvJ-ZxQvd9V2i7, https://drive.google.com/open?id=1dphRW9TZ2R0cxE-S6Kqa3L9kTcHbpwO5, https://drive.google.com/open?id=10M8w2wvo5__TSffl0PJ4Jn-wwQ1DGSWW, https://drive.google.com/open?id=1dYX_IW21ECQlHCotkW3gHvtGff8swXQF, https://drive.google.com/open?id=1MQX-OEktWxuhxiVj5jjQmhDy9w-4J0Iy</t>
  </si>
  <si>
    <t>anh Khoa</t>
  </si>
  <si>
    <t>09322666677</t>
  </si>
  <si>
    <t>https://drive.google.com/open?id=1FzM3jhcX9LG4FittHxY9MBe8lm66xdfy, https://drive.google.com/open?id=1lSUFHs5ytRFqdQLJA2Wwxp-LmU0hn-L6, https://drive.google.com/open?id=12LmKLgsEsRM6YyDc6Kvjha0tUBVKOYz1, https://drive.google.com/open?id=1b6IZm6kLbCHbDGQ-PtVJ-m99gmD3awUB, https://drive.google.com/open?id=17AkTb6bPOdrpv0qJ3DcFXZZZQRs3ihnb</t>
  </si>
  <si>
    <t>chị Hoài</t>
  </si>
  <si>
    <t>0906202140</t>
  </si>
  <si>
    <t>https://drive.google.com/open?id=1IDCz6w5B_HIwzy5Z4brMCTM-TXLxMy5A, https://drive.google.com/open?id=1cq8LVPrFsG_mQ9tuncfKeKf1lc7qPhMe, https://drive.google.com/open?id=1QT1-2XwxQkttYibfANX5aRibs0PIYw3k, https://drive.google.com/open?id=1c2Si21ec-APjylsw8Qu6q0a48HT4Bvzk, https://drive.google.com/open?id=1qRnFkfMZAT6PKWZj_jAJqchbz4w-Z1Nd</t>
  </si>
  <si>
    <t>lê minh nhân</t>
  </si>
  <si>
    <t>0932766423</t>
  </si>
  <si>
    <t>https://drive.google.com/open?id=1BFVBiZa3-92xnTmifaVoUUorDbP6cqKW, https://drive.google.com/open?id=1cjTqgmfUbIKWFci3sHxNMFdWvdWV0kEW, https://drive.google.com/open?id=16_-OSQWdXmqGdr6l7l9QGzwMfdUAeiTo, https://drive.google.com/open?id=17brhAeXoXgCJaI2mYnRg6xJ0xcWGUKR4, https://drive.google.com/open?id=1a3gzuOrsp5kqW85aBRKQlwhUwu3YUtTY</t>
  </si>
  <si>
    <t>18582602020700077</t>
  </si>
  <si>
    <t>anh Hung Nguyen</t>
  </si>
  <si>
    <t>0834345045</t>
  </si>
  <si>
    <t>https://drive.google.com/open?id=1gctQDE1l-hoG2mUsbrYNbJsQ-ggLkNGD, https://drive.google.com/open?id=1cvjaLokjcvqEiDnAM98QnjNS4hEDrG_t, https://drive.google.com/open?id=1K9f_xrEyKdOUakACFk41I75QcPD8dPDb, https://drive.google.com/open?id=1r4HJyaXUUDgeLZVwmks66TxiMEg0Ekgr, https://drive.google.com/open?id=1B9jQj0aE7XjbHBt4ful_3KYnnhybYcCz</t>
  </si>
  <si>
    <t>Ms Alice Briars</t>
  </si>
  <si>
    <t>0961105503</t>
  </si>
  <si>
    <t>https://drive.google.com/open?id=1uI4fJWS48L0JV2zqafi7tzjtUYiFpbGJ, https://drive.google.com/open?id=18dL3oQV9c5G6jjY34B__Om3Yxh7kSAnH, https://drive.google.com/open?id=1EybT--JMCb0xpTsKi4DLTh0HMhar-L0t, https://drive.google.com/open?id=1pH8vCXRIgjakUF7dAztw9r2W7iy9X1AN, https://drive.google.com/open?id=1oLTPznjfT4N0YXHaeur3X_kJYWsgRWpX</t>
  </si>
  <si>
    <t>thanh toán sau</t>
  </si>
  <si>
    <t>0793388699</t>
  </si>
  <si>
    <t>https://drive.google.com/open?id=1v1us0-B4Xgjtf4DROn6fvzKyD67CEs-m, https://drive.google.com/open?id=1aQM9ZGRSzJRuMJkOR63B0dKQ_p9U4rdX, https://drive.google.com/open?id=11Pf6JEVwJRFCwW9N_vO1zSkYqJiyPx47, https://drive.google.com/open?id=13CEScvwvASMGDLK2yobCBupTK2XraFlJ, https://drive.google.com/open?id=1rJw0HF1EFPgecTJHl1pttaSQUfyZheqI</t>
  </si>
  <si>
    <t>0935250066</t>
  </si>
  <si>
    <t>https://drive.google.com/open?id=1Ru6jTkyAZw2iI6ZP16Q3fqgXFEik9CPA, https://drive.google.com/open?id=1WhaWIdazVwzOedgMrBMTuD80Firtg1c5, https://drive.google.com/open?id=1oHMbWOQbMLGtwSXQIHxEU605Iz2j1Ygt, https://drive.google.com/open?id=1zJNc5sCzOOdgmx0jdqmyHeEjqKu9pEKc, https://drive.google.com/open?id=1UIOkCqmxpJ5ZEVAAW7ImkxO6Cdx7L74Y</t>
  </si>
  <si>
    <t>Chị an</t>
  </si>
  <si>
    <t>0969977710</t>
  </si>
  <si>
    <t>https://drive.google.com/open?id=1pmbr3DB-f1GyBsXx4zJ3D0V1xKL_Wcn9, https://drive.google.com/open?id=13WLYpjZTc-J06KOe7odvYfo-2Ur0a_OP, https://drive.google.com/open?id=1KvbE1aT9-LTc7lhEjeh-96WhIV-rqakQ</t>
  </si>
  <si>
    <t>anh Thuận</t>
  </si>
  <si>
    <t>0988883520</t>
  </si>
  <si>
    <t>https://drive.google.com/open?id=1KoINdq20ic3JL6WrdV32V4S_s2vMpfvT, https://drive.google.com/open?id=1fZKN-kMFiqOQSvnAMaEQUrMFwNTYud_e, https://drive.google.com/open?id=1riXHJB-WZNjVVddysjGh96RlCRWHvsKL, https://drive.google.com/open?id=1beL0SsoKzNpyk1A7RyJwaO54lRMFTKcS, https://drive.google.com/open?id=1jFWtx-IXBfUZ5r_f7Ch-H-6CgGNlcae-</t>
  </si>
  <si>
    <t>chị Quỳnh</t>
  </si>
  <si>
    <t>0967022333</t>
  </si>
  <si>
    <t>https://drive.google.com/open?id=1sp9w6plEc_cFsJHpHekaEYhbhZqY9Khw, https://drive.google.com/open?id=1sY3OnWCa4PqCmznnIYuK5MCO9ojQM6fL, https://drive.google.com/open?id=1ihrhEseH-YGFYsb-BS4Pb21xyaVCG64c, https://drive.google.com/open?id=1QDkqSruCXBv8fmSbk0Gd7NFYJICzbu2F, https://drive.google.com/open?id=1Mj9BaNTwzHw7CuN_sDjooylvp5qN5OUi</t>
  </si>
  <si>
    <t>Anh Thành</t>
  </si>
  <si>
    <t>https://drive.google.com/open?id=1fyYUpdFAzcTCiD0NpHTZf4Vt55-ENogg, https://drive.google.com/open?id=1jy6niyidHE8swHmW_G71ozECgUptPn-r, https://drive.google.com/open?id=1xdvqeLd8JqXhORmeWF3SBXHBHu83hD6n</t>
  </si>
  <si>
    <t>Đổi máy mới cho kh</t>
  </si>
  <si>
    <t>Yến hiền</t>
  </si>
  <si>
    <t>0984252121</t>
  </si>
  <si>
    <t>https://drive.google.com/open?id=1M4-AWqRdrNkdpEkUR0wWCas_ePA27Arj, https://drive.google.com/open?id=1pdiKl1i6ph-Ck-8QTm73_P5SDqG8uc1F, https://drive.google.com/open?id=1KMiEQLpF5R4oblKH_ZGp66tI2UXf37rB, https://drive.google.com/open?id=1ZkTZeqjg-PQ3sYl2XCJtREddVdSbJXiq</t>
  </si>
  <si>
    <t>0915410033</t>
  </si>
  <si>
    <t>https://drive.google.com/open?id=1L9ghemWXviQuq9vETaSSV6U5B4AEdz3K, https://drive.google.com/open?id=1FTWg_SvCfPsWX_DsFmciYbMHM4JEf9Bx, https://drive.google.com/open?id=12EaJk_ypH-eIa3LFraUskgxeQP-YUGQ7, https://drive.google.com/open?id=1N6xYsgAX8Djd95uVnQfwiGgd-MDlu6f_</t>
  </si>
  <si>
    <t>Minh anh</t>
  </si>
  <si>
    <t>0974075496</t>
  </si>
  <si>
    <t>https://drive.google.com/open?id=1YZeDgGld8AY604Jx9vglwbsbjpfBflwX, https://drive.google.com/open?id=1DFlp_ddjNH0_8UxCxNgr69U_3xPlX09w, https://drive.google.com/open?id=1dTAViLuYhn0A73q8v-eVqFRKtvvoxYAD</t>
  </si>
  <si>
    <t>Anh huy</t>
  </si>
  <si>
    <t>0376300818</t>
  </si>
  <si>
    <t>https://drive.google.com/open?id=1xbfQeHqMWtnCNJLaiAqHgLyG62bO0Emj, https://drive.google.com/open?id=17jrHSYfeDUrMdMFAsJgmf-S71M98vgdK, https://drive.google.com/open?id=1ocCWM3c-oFXAJVogm-ACpJZHu0Fmq832</t>
  </si>
  <si>
    <t>Nguyễn Phương Trinh</t>
  </si>
  <si>
    <t>0966650639</t>
  </si>
  <si>
    <t>https://drive.google.com/open?id=15_tWNz8Wk7T_volT5i2jQ1cG8hu76E5X, https://drive.google.com/open?id=1s343pwcpfNSN9PAwjR_WdWbxhB6T-zM8, https://drive.google.com/open?id=1tPNHwe9IUe09egJslJztOXx97UGlc0DR, https://drive.google.com/open?id=1TrehL43vQkYeZyaaiGKkTjOQ7DXvU3KI, https://drive.google.com/open?id=1U23UQYTRPvoSHG1JehMKoPhTqKUojNO4</t>
  </si>
  <si>
    <t>Nguyễn Đông Giang - Vinadu</t>
  </si>
  <si>
    <t>Linh Vương</t>
  </si>
  <si>
    <t>0979650968</t>
  </si>
  <si>
    <r>
      <rPr/>
      <t xml:space="preserve">https://drive.google.com/open?id=1szyrjuWmjsMNl_IOPc8j1OU6rTdrTfLr, https://drive.google.com/open?id=1iFquowBbEXMC18tp1FdaYpE9sa8uBdd7, https://drive.google.com/open?id=18W4P-k-UVCvXCHWrmNc8tVBOYWbJVDn2, https://drive.google.com/open?id=1-kZ2iBzkEDCnZQc0pHkuE_G4UFYvAthr, </t>
    </r>
    <r>
      <rPr>
        <color rgb="FF1155CC"/>
        <u/>
      </rPr>
      <t>https://drive.google.com/open?id=1BdXUt6redht3YC3OAo8416GdFYKn3ROk</t>
    </r>
  </si>
  <si>
    <t>Nguyen Khoa Dang</t>
  </si>
  <si>
    <t>0859261229</t>
  </si>
  <si>
    <t>https://drive.google.com/open?id=1UP1o_Fp1WtRdaiXSHnQ_niQak9JeRatZ, https://drive.google.com/open?id=1sgUXikPMljW0eRCXNPUSPEvmJ_M-4MHC, https://drive.google.com/open?id=1CHNkSmXCg7OUGqRz73JtsQILVIjc8Dwl, https://drive.google.com/open?id=1XSZmkYxDtARRoj8z5ZBVvCmx0EfX4Qvi, https://drive.google.com/open?id=1wBJiHfpd7UCEQNffot7e4okTwaOD6nHq</t>
  </si>
  <si>
    <t>A nhật</t>
  </si>
  <si>
    <t>0338389699</t>
  </si>
  <si>
    <t>https://drive.google.com/open?id=1mKRQ-QE1o1O74EhtGyiriylg13bbkhMB, https://drive.google.com/open?id=1EOQnJbEnCQRPZ6iRPiIgEZ95ZzUXd-af, https://drive.google.com/open?id=16AtYsTu_2XvAUqiKnjN5RzGh141Iuvcl, https://drive.google.com/open?id=1HPQPRBxXDs2PvgI29bG7ZlfMa9zmtJHf</t>
  </si>
  <si>
    <t>Quang</t>
  </si>
  <si>
    <t>0979638698</t>
  </si>
  <si>
    <t>https://drive.google.com/open?id=1IOEYC_xFVaogbIfhITiLccSqfZKlf_KU, https://drive.google.com/open?id=1JAjlFJj_5_ST3g6G4ZQqbZ3EwL_s5BiE, https://drive.google.com/open?id=1y-N7xtoths5kTeRPP6toscAw63703MVc, https://drive.google.com/open?id=1l7m-AwasErNA_VHK4idazJwOiGOglBoF, https://drive.google.com/open?id=1QAyPCn0NyCZKsxbJJ2dd6Erf_6KN8A5s</t>
  </si>
  <si>
    <t>Vũ</t>
  </si>
  <si>
    <t>0398363020</t>
  </si>
  <si>
    <t>https://drive.google.com/open?id=1VyYp78v2JNWPK-OPRbiebGQtBbsEb6Io, https://drive.google.com/open?id=1LnSHPjlrHpiTpbVYwdAUilck2YLz3bd3, https://drive.google.com/open?id=1vMfXXlx8jKu-hDYKKrE2bQ7T4AmnPSKj, https://drive.google.com/open?id=1yKBW-D-Tn87ov_mk_Wk6LHEYWVdvoF9F, https://drive.google.com/open?id=1WN2In36r1U07-F2VuK0Q77vlFAJb8Ob7</t>
  </si>
  <si>
    <t>0918325041</t>
  </si>
  <si>
    <t>https://drive.google.com/open?id=1kOeWYVzYk2WZSDVMPZLYAxA-4lzYJWPd, https://drive.google.com/open?id=1o85Z503Hepls3UUbQjWsM0z-y7p3SH51, https://drive.google.com/open?id=1ajM8aMZP_59zl3zoNJ24gFctbeJ9UEE1</t>
  </si>
  <si>
    <t xml:space="preserve"> đã thanh toán</t>
  </si>
  <si>
    <t>0936797944</t>
  </si>
  <si>
    <t>https://drive.google.com/open?id=1Cr00uRzps3fMiJ_FAXSNc6EhdAdANPzI, https://drive.google.com/open?id=1KPACfDXEo5bvNkaZeHhQLSFm-GoCvOj-, https://drive.google.com/open?id=1jBbwLAZTTH_6xGrCvPqXIFHyagxNf0Kc, https://drive.google.com/open?id=1oyMgGEAMzQtkkA0s5NhQHGhHYsEJt2vt, https://drive.google.com/open?id=1sDHcg9O34cuImKVB5ZAfznRUaZGjRBHd</t>
  </si>
  <si>
    <t>Nguyễn thu trang</t>
  </si>
  <si>
    <t>0935553639</t>
  </si>
  <si>
    <t>https://drive.google.com/open?id=12BvR5jNyks-DZOILWLdtK4lHCkPnfanU, https://drive.google.com/open?id=1MLKRsEC9JpLeeSEhdUO-SVAty1j-JFG_, https://drive.google.com/open?id=1s91BBaPuld4_gC25MxLMXx_2voJ-DExf</t>
  </si>
  <si>
    <t>0336417214</t>
  </si>
  <si>
    <t>https://drive.google.com/open?id=1jLtOEyZS06SSeXR443f7Zd2jROFXldju, https://drive.google.com/open?id=1oG8I8vXFYV6LuM-WTH1U1p2GITOt1PVJ, https://drive.google.com/open?id=137BfMLJkHVt1nZ18ff14WtLsj3uhVgIb, https://drive.google.com/open?id=1b7qFFdYNUtNm4MdzNdds3z1zLPg4MbaN, https://drive.google.com/open?id=1s1UIgrZkGq_OithE_w03evJA9gwy3_QP</t>
  </si>
  <si>
    <t>chị Thảo</t>
  </si>
  <si>
    <t>0949355347</t>
  </si>
  <si>
    <t>https://drive.google.com/open?id=1xGBi6F-LLOf3ZBCa8_lZsghSZZT648aX, https://drive.google.com/open?id=10-Y1_20A_xAaMSeyA3Wjzdzuky-Px3cZ, https://drive.google.com/open?id=1gKY49wg0i-9qQYDSrr4vAWRLepIxfUKA, https://drive.google.com/open?id=1EjZA3RLfWris8NQVnbpU9YDV_L_O3DOc, https://drive.google.com/open?id=1W9JdImhHqIjAD8rxHTxornm0cx-28Gn0</t>
  </si>
  <si>
    <t>https://drive.google.com/open?id=1nfNDn8tOeo1meDpxs3H5Vw7MMmidAHa5, https://drive.google.com/open?id=1iqESUZKwmNi2iRUhL1XIwp7LEcLzf_Uh, https://drive.google.com/open?id=1l5qFLOhNXncumCRDgnh3rUAgPyjzG1h4</t>
  </si>
  <si>
    <t>Đã tt tiền cước 80k</t>
  </si>
  <si>
    <t>https://drive.google.com/open?id=1ikh1xUWH21mSsQQWJyuglBUonnP_xQm2, https://drive.google.com/open?id=1QHzHVY7kuypYKSBPOFlQX1CTDgveHu8N, https://drive.google.com/open?id=1vmDZAOqmCorHvbubTuZbiUK4W5zbyH0V</t>
  </si>
  <si>
    <t>Đã tt tiền cước 138k</t>
  </si>
  <si>
    <t>0788820222</t>
  </si>
  <si>
    <t>https://drive.google.com/open?id=1sMEpyyrDSuW5bhQzECEarqkM2IxUMm2t, https://drive.google.com/open?id=1zomTBvlT9qm6y6Dcf4LmpWoXxCE4OIPg, https://drive.google.com/open?id=1rLdjMZ1aN1Q7jhFsGFp5l1Fsi-83n5ya, https://drive.google.com/open?id=15D-o0cfl5r3plpEI04TosvZeI5RlqjUB, https://drive.google.com/open?id=1bc-Q-g370yC8su07cv0Sd6BCiAYp-24R</t>
  </si>
  <si>
    <t>Lê Đức Thống</t>
  </si>
  <si>
    <t>0972265666</t>
  </si>
  <si>
    <t>https://drive.google.com/open?id=1TNh8sl6GAMJOdWeYSpCdf4oaEbjp6ldz, https://drive.google.com/open?id=1WQOp6s8K3MeHHAGcRzX1AIP_qVjqmYZ7</t>
  </si>
  <si>
    <t>Ktv đã thu 30k tiền sip</t>
  </si>
  <si>
    <t>1398221211600102</t>
  </si>
  <si>
    <t>Linh chi</t>
  </si>
  <si>
    <t>0977918109</t>
  </si>
  <si>
    <t>https://drive.google.com/open?id=114ZX302F2VTajJZjyX9qZ9KXIicb4BoF, https://drive.google.com/open?id=1wJTkImFRqe9ypMZ87B0ykT8ZmRdoPnDo</t>
  </si>
  <si>
    <t xml:space="preserve">Phương Anh </t>
  </si>
  <si>
    <t>0978927741</t>
  </si>
  <si>
    <t>https://drive.google.com/open?id=17pJ4sHhsKwMJn1FGNmVjV93mxZeYTUe_, https://drive.google.com/open?id=10lNPiPSGqGtrylw8DquNapBNTy1TiVGA, https://drive.google.com/open?id=1E_lmFkpg1bqFCoF_GEAaJren2daFG6aD, https://drive.google.com/open?id=1sEeWH56kLRH-vBDYOqkOj4p8-DELBKQi, https://drive.google.com/open?id=131WepUK2ZRZDkIcFbo5wlVPIE4YAk6gk</t>
  </si>
  <si>
    <t>0909060128</t>
  </si>
  <si>
    <t>https://drive.google.com/open?id=1GTl3aQWy-12cC85vlTxoqxmX1BUKfO_9, https://drive.google.com/open?id=15f6wSTXnkrHSDYAwNuoe0fiO-PnPvVIN, https://drive.google.com/open?id=1IIblKug96LCHgvyogNwwlNbJDCPKkCNW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</si>
</sst>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"/>
    <numFmt numFmtId="165" formatCode="d/m/yyyy"/>
    <numFmt numFmtId="166" formatCode="#,##0&quot;₫&quot;"/>
  </numFmts>
  <fonts count="11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color rgb="FFFF0000"/>
      <name val="Arial"/>
      <scheme val="minor"/>
    </font>
    <font>
      <u/>
      <color rgb="FF434343"/>
      <name val="Roboto"/>
    </font>
    <font>
      <u/>
      <color rgb="FF0000FF"/>
      <name val="Roboto"/>
    </font>
    <font>
      <u/>
      <color rgb="FF0000FF"/>
      <name val="Roboto"/>
    </font>
    <font>
      <u/>
      <color rgb="FF434343"/>
      <name val="Roboto"/>
    </font>
    <font>
      <color rgb="FF434343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" xfId="0" applyAlignment="1" applyFont="1" applyNumberFormat="1">
      <alignment horizontal="left" readingOrder="0" shrinkToFit="0" vertical="center" wrapText="0"/>
    </xf>
    <xf borderId="0" fillId="0" fontId="1" numFmtId="164" xfId="0" applyAlignment="1" applyFont="1" applyNumberFormat="1">
      <alignment horizontal="left" readingOrder="0" shrinkToFit="0" vertical="center" wrapText="0"/>
    </xf>
    <xf quotePrefix="1"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3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quotePrefix="1" borderId="0" fillId="0" fontId="1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3" xfId="0" applyAlignment="1" applyFont="1" applyNumberFormat="1">
      <alignment shrinkToFit="0" vertical="center" wrapText="0"/>
    </xf>
    <xf borderId="0" fillId="0" fontId="1" numFmtId="3" xfId="0" applyAlignment="1" applyFont="1" applyNumberFormat="1">
      <alignment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horizontal="left" readingOrder="0" shrinkToFit="0" vertical="center" wrapText="0"/>
    </xf>
    <xf borderId="0" fillId="0" fontId="1" numFmtId="165" xfId="0" applyAlignment="1" applyFont="1" applyNumberFormat="1">
      <alignment horizontal="left" readingOrder="0" shrinkToFit="0" vertical="center" wrapText="0"/>
    </xf>
    <xf borderId="0" fillId="0" fontId="1" numFmtId="3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10" numFmtId="0" xfId="0" applyAlignment="1" applyFont="1">
      <alignment readingOrder="0" shrinkToFit="0" vertical="center" wrapText="0"/>
    </xf>
    <xf borderId="0" fillId="2" fontId="1" numFmtId="0" xfId="0" applyAlignment="1" applyFill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3" xfId="0" applyFont="1" applyNumberFormat="1"/>
    <xf borderId="0" fillId="0" fontId="1" numFmtId="4" xfId="0" applyFont="1" applyNumberFormat="1"/>
    <xf borderId="0" fillId="0" fontId="1" numFmtId="0" xfId="0" applyAlignment="1" applyFont="1">
      <alignment readingOrder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D6CFE1"/>
          <bgColor rgb="FFD6CFE1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5" pivot="0" name="Câu trả lời biểu mẫu 1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1:O1199" displayName="Form_Responses" name="Form_Responses" id="1">
  <tableColumns count="15">
    <tableColumn name="Tháng" id="1"/>
    <tableColumn name="Dấu thời gian" id="2"/>
    <tableColumn name="Tên KTV thực hiện dich vụ Truliva" id="3"/>
    <tableColumn name="Tên khách hàng" id="4"/>
    <tableColumn name="Số điện thoại khách hàng" id="5"/>
    <tableColumn name="Tỉnh/Thành phố (địa chỉ khách hàng)" id="6"/>
    <tableColumn name="Sản phẩm máy/lõi lọc nào?" id="7"/>
    <tableColumn name="Loại dịch vụ" id="8"/>
    <tableColumn name="5 hình ảnh (tổng quan, biên bản và thanh toán, ảnh chuyển khoản)" id="9"/>
    <tableColumn name="Ghi chú khác (nếu có)" id="10"/>
    <tableColumn name="Số serial" id="11"/>
    <tableColumn name="Khoảng cách di chuyển (km)" id="12"/>
    <tableColumn totalsRowFunction="custom" name="Đã trả tiền công KTV" id="13"/>
    <tableColumn totalsRowFunction="custom" name="Chi phí dịch vụ" id="14"/>
    <tableColumn totalsRowFunction="custom" name="Chi phí phát sinh" id="15"/>
  </tableColumns>
  <tableStyleInfo name="Câu trả lời biểu mẫu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2vUnGx4ECAjIZOPQ2G5BbnyB8FVIbk-P" TargetMode="External"/><Relationship Id="rId42" Type="http://schemas.openxmlformats.org/officeDocument/2006/relationships/hyperlink" Target="https://drive.google.com/open?id=1zBN62b8Jfvrgz1YU0AIZIk1Etly3lEnK" TargetMode="External"/><Relationship Id="rId41" Type="http://schemas.openxmlformats.org/officeDocument/2006/relationships/hyperlink" Target="https://drive.google.com/open?id=11cYdLgNbwfchjohardw4MI_xJJt4SZsc" TargetMode="External"/><Relationship Id="rId44" Type="http://schemas.openxmlformats.org/officeDocument/2006/relationships/hyperlink" Target="https://drive.google.com/open?id=13FMZT8dWCjf4xzkUCEY8HPRaDb1jl0LD" TargetMode="External"/><Relationship Id="rId43" Type="http://schemas.openxmlformats.org/officeDocument/2006/relationships/hyperlink" Target="https://drive.google.com/open?id=1_6_vDYUqZn5h_O9LpEX-0qjediKZ-sFX" TargetMode="External"/><Relationship Id="rId46" Type="http://schemas.openxmlformats.org/officeDocument/2006/relationships/hyperlink" Target="https://drive.google.com/open?id=1842HW6gbMlxvXmZAjN-C6uNNEhfO9xOF" TargetMode="External"/><Relationship Id="rId45" Type="http://schemas.openxmlformats.org/officeDocument/2006/relationships/hyperlink" Target="https://drive.google.com/open?id=1tTTU_yiuGvjSPFkpxDMTVG3TIm3M23OV" TargetMode="External"/><Relationship Id="rId107" Type="http://schemas.openxmlformats.org/officeDocument/2006/relationships/hyperlink" Target="https://drive.google.com/open?id=1_AVu-9KT4MU53W-_ou0vNuq9U2-qYwH5" TargetMode="External"/><Relationship Id="rId106" Type="http://schemas.openxmlformats.org/officeDocument/2006/relationships/hyperlink" Target="https://drive.google.com/open?id=1-niYnMFS9l9CxvA9AuOOqSIz57MKidvF" TargetMode="External"/><Relationship Id="rId105" Type="http://schemas.openxmlformats.org/officeDocument/2006/relationships/hyperlink" Target="https://drive.google.com/open?id=1pCNutI5ASQMUZf7v4luxykeGtXtd_q7y" TargetMode="External"/><Relationship Id="rId104" Type="http://schemas.openxmlformats.org/officeDocument/2006/relationships/hyperlink" Target="https://drive.google.com/open?id=1Fg07hwbRumvOJFR2aYguVY29lCiPXM-V" TargetMode="External"/><Relationship Id="rId109" Type="http://schemas.openxmlformats.org/officeDocument/2006/relationships/hyperlink" Target="https://drive.google.com/open?id=1gJI125lLkeLofxqgNFEbADM-4CDBzmr1" TargetMode="External"/><Relationship Id="rId108" Type="http://schemas.openxmlformats.org/officeDocument/2006/relationships/hyperlink" Target="https://drive.google.com/open?id=1NCezKqme_K9U4v1GD0a9gONRZQtArAKd" TargetMode="External"/><Relationship Id="rId48" Type="http://schemas.openxmlformats.org/officeDocument/2006/relationships/hyperlink" Target="https://drive.google.com/open?id=1r6bjlJTPJASDDbvTh0yHoDiV4ksIdDmh" TargetMode="External"/><Relationship Id="rId47" Type="http://schemas.openxmlformats.org/officeDocument/2006/relationships/hyperlink" Target="https://drive.google.com/open?id=1bZZnfFkd8-BDi-rU9jy0vvf5806Pd_Qi" TargetMode="External"/><Relationship Id="rId49" Type="http://schemas.openxmlformats.org/officeDocument/2006/relationships/hyperlink" Target="https://drive.google.com/open?id=13VDCfg2xx-8xwrBP31k-VkPCjNzn5yAJ" TargetMode="External"/><Relationship Id="rId103" Type="http://schemas.openxmlformats.org/officeDocument/2006/relationships/hyperlink" Target="https://drive.google.com/open?id=1jrTNoznJhB7iRXzP0GucuTua-Q6zMivL" TargetMode="External"/><Relationship Id="rId102" Type="http://schemas.openxmlformats.org/officeDocument/2006/relationships/hyperlink" Target="https://drive.google.com/open?id=1gn1u4MVxT13b_cQqxPwboZ7Ya76qwGV1" TargetMode="External"/><Relationship Id="rId101" Type="http://schemas.openxmlformats.org/officeDocument/2006/relationships/hyperlink" Target="https://drive.google.com/open?id=1FZyY3j6aU_6bAaRhngcYPzRyCeZGGfFM" TargetMode="External"/><Relationship Id="rId100" Type="http://schemas.openxmlformats.org/officeDocument/2006/relationships/hyperlink" Target="https://drive.google.com/open?id=10Nnu1EpZmKv7g1OFMqHVM_DeVMwWUrkD" TargetMode="External"/><Relationship Id="rId31" Type="http://schemas.openxmlformats.org/officeDocument/2006/relationships/hyperlink" Target="https://drive.google.com/open?id=1Z2dZMghLNBwDwsZNZxS1MpgtU0NUQ11G" TargetMode="External"/><Relationship Id="rId30" Type="http://schemas.openxmlformats.org/officeDocument/2006/relationships/hyperlink" Target="https://drive.google.com/open?id=1WqTowacTxpBZoggZ9LyteSqMTYYpBDSc" TargetMode="External"/><Relationship Id="rId33" Type="http://schemas.openxmlformats.org/officeDocument/2006/relationships/hyperlink" Target="https://drive.google.com/open?id=1r6CmvzPVyNJMxFZxHQxgkK3EClrVuIgW" TargetMode="External"/><Relationship Id="rId32" Type="http://schemas.openxmlformats.org/officeDocument/2006/relationships/hyperlink" Target="https://drive.google.com/open?id=1cJRzim-nMozm3Xq-Fj0xVMt5VorSp0Y8" TargetMode="External"/><Relationship Id="rId35" Type="http://schemas.openxmlformats.org/officeDocument/2006/relationships/hyperlink" Target="https://drive.google.com/open?id=1-v4pvTuOt0y80m2LLcqpNujfZ14SFLRn" TargetMode="External"/><Relationship Id="rId34" Type="http://schemas.openxmlformats.org/officeDocument/2006/relationships/hyperlink" Target="https://drive.google.com/open?id=1GuTP1rjl1HHYLE3rbZmnhIJeyky8vZV2" TargetMode="External"/><Relationship Id="rId37" Type="http://schemas.openxmlformats.org/officeDocument/2006/relationships/hyperlink" Target="https://drive.google.com/open?id=1yqyUd8ckyEQzeEv-Ew_SMHPGShiHZvCz" TargetMode="External"/><Relationship Id="rId36" Type="http://schemas.openxmlformats.org/officeDocument/2006/relationships/hyperlink" Target="https://drive.google.com/open?id=1ukiOUe2HO45w8RKW5lQntDiDeVFbL6UA" TargetMode="External"/><Relationship Id="rId39" Type="http://schemas.openxmlformats.org/officeDocument/2006/relationships/hyperlink" Target="https://drive.google.com/open?id=1yzATuBHinNqKZSRv-XyMRKikW5m7XNc-" TargetMode="External"/><Relationship Id="rId38" Type="http://schemas.openxmlformats.org/officeDocument/2006/relationships/hyperlink" Target="https://drive.google.com/open?id=1ygZlk47KA7WV0gx-zyN1Z8NryNtRl4Vd" TargetMode="External"/><Relationship Id="rId20" Type="http://schemas.openxmlformats.org/officeDocument/2006/relationships/hyperlink" Target="https://drive.google.com/open?id=1aAjhpY1WEaXdf8wxpq73EL38X0BgEYCj" TargetMode="External"/><Relationship Id="rId22" Type="http://schemas.openxmlformats.org/officeDocument/2006/relationships/hyperlink" Target="https://drive.google.com/open?id=1jyqyqr-BipZPlevUfnSdGdA_Q7To3Q_Y" TargetMode="External"/><Relationship Id="rId21" Type="http://schemas.openxmlformats.org/officeDocument/2006/relationships/hyperlink" Target="https://drive.google.com/open?id=1BF2IIDerUWCpNsU2nI49oa0P5KjAf8gv" TargetMode="External"/><Relationship Id="rId24" Type="http://schemas.openxmlformats.org/officeDocument/2006/relationships/hyperlink" Target="https://drive.google.com/open?id=1T4iqnnY2zSQm-zlLM67FAr8CGUC614YR" TargetMode="External"/><Relationship Id="rId23" Type="http://schemas.openxmlformats.org/officeDocument/2006/relationships/hyperlink" Target="https://drive.google.com/open?id=1EVOUlFc4AYzDs9uPq5mnoWqv11yPRbh5" TargetMode="External"/><Relationship Id="rId129" Type="http://schemas.openxmlformats.org/officeDocument/2006/relationships/hyperlink" Target="https://drive.google.com/open?id=1rBnC1Uug8JOyslg87hK1JnaWTKx_LBo4" TargetMode="External"/><Relationship Id="rId128" Type="http://schemas.openxmlformats.org/officeDocument/2006/relationships/hyperlink" Target="https://drive.google.com/open?id=1nDHCe6Qsw3JzFAPHyjS38qu7t6Etouer" TargetMode="External"/><Relationship Id="rId127" Type="http://schemas.openxmlformats.org/officeDocument/2006/relationships/hyperlink" Target="https://drive.google.com/open?id=1ukH5G_AhT8unF9MXA9ofU3avVSZFqfjA" TargetMode="External"/><Relationship Id="rId126" Type="http://schemas.openxmlformats.org/officeDocument/2006/relationships/hyperlink" Target="https://drive.google.com/open?id=1mG0Z7pacUW2Ts68WMQ49ou0CMqz5RLHg" TargetMode="External"/><Relationship Id="rId26" Type="http://schemas.openxmlformats.org/officeDocument/2006/relationships/hyperlink" Target="https://drive.google.com/open?id=18o4rKBH1eTIhIgB31cXWKas1Yw7loa7W" TargetMode="External"/><Relationship Id="rId121" Type="http://schemas.openxmlformats.org/officeDocument/2006/relationships/hyperlink" Target="https://drive.google.com/open?id=1qBfDTTieZME5FGTk4AtejMmbJ_6i1Qul" TargetMode="External"/><Relationship Id="rId25" Type="http://schemas.openxmlformats.org/officeDocument/2006/relationships/hyperlink" Target="https://drive.google.com/open?id=13WUOgDX_487KgCYgOMpIzjNKPnYiSNOI" TargetMode="External"/><Relationship Id="rId120" Type="http://schemas.openxmlformats.org/officeDocument/2006/relationships/hyperlink" Target="https://drive.google.com/open?id=1yxmyFQC-c1qU9gEeHsg6cFrG4SB3eb_R" TargetMode="External"/><Relationship Id="rId28" Type="http://schemas.openxmlformats.org/officeDocument/2006/relationships/hyperlink" Target="https://drive.google.com/open?id=1pOmcne86JDR_BzMtqmvI2otyaIAFS143" TargetMode="External"/><Relationship Id="rId27" Type="http://schemas.openxmlformats.org/officeDocument/2006/relationships/hyperlink" Target="https://drive.google.com/open?id=1L3t6wALInhsnTTcQ8JeYJBJuy5afpvI7" TargetMode="External"/><Relationship Id="rId125" Type="http://schemas.openxmlformats.org/officeDocument/2006/relationships/hyperlink" Target="https://drive.google.com/open?id=14HCJxiNyDeV0yrei7aCiiUR-i3cS5yA5" TargetMode="External"/><Relationship Id="rId29" Type="http://schemas.openxmlformats.org/officeDocument/2006/relationships/hyperlink" Target="https://drive.google.com/open?id=17HR3BKrZddYuou_r-eWHFrF4GHyriiTV" TargetMode="External"/><Relationship Id="rId124" Type="http://schemas.openxmlformats.org/officeDocument/2006/relationships/hyperlink" Target="https://drive.google.com/open?id=1eAkiG0EL7hOkgnukxkT9ivjcaWeEgtqg" TargetMode="External"/><Relationship Id="rId123" Type="http://schemas.openxmlformats.org/officeDocument/2006/relationships/hyperlink" Target="https://drive.google.com/open?id=1zrU1Ql8sVaenqTGAJSO4ZVn9n7--ytRo" TargetMode="External"/><Relationship Id="rId122" Type="http://schemas.openxmlformats.org/officeDocument/2006/relationships/hyperlink" Target="https://drive.google.com/open?id=10UMLzUChnfWfkDNsKAK0jNo1nBr3QQou" TargetMode="External"/><Relationship Id="rId95" Type="http://schemas.openxmlformats.org/officeDocument/2006/relationships/hyperlink" Target="https://drive.google.com/open?id=14mTiiry2ZzRh8w5W-nFaRhFmwazfys_G" TargetMode="External"/><Relationship Id="rId94" Type="http://schemas.openxmlformats.org/officeDocument/2006/relationships/hyperlink" Target="https://drive.google.com/open?id=1W5NXZ7loGsoHTY5nt4QX2t77FB4v5n2L" TargetMode="External"/><Relationship Id="rId97" Type="http://schemas.openxmlformats.org/officeDocument/2006/relationships/hyperlink" Target="https://drive.google.com/open?id=1BnytpRBvQNSuEQ__M5tW73QKoLXr0VLW" TargetMode="External"/><Relationship Id="rId96" Type="http://schemas.openxmlformats.org/officeDocument/2006/relationships/hyperlink" Target="https://drive.google.com/open?id=1T3oy-rwL5fvuT-zlioeyfGj5799gAou1" TargetMode="External"/><Relationship Id="rId11" Type="http://schemas.openxmlformats.org/officeDocument/2006/relationships/hyperlink" Target="https://drive.google.com/open?id=1HG79MifJu3SZhz1bDfYmw9t033xqst__" TargetMode="External"/><Relationship Id="rId99" Type="http://schemas.openxmlformats.org/officeDocument/2006/relationships/hyperlink" Target="https://drive.google.com/open?id=1RZ_eFcEJpIWRu8j3KWoKIjDAiFY4Vzzd" TargetMode="External"/><Relationship Id="rId10" Type="http://schemas.openxmlformats.org/officeDocument/2006/relationships/hyperlink" Target="https://drive.google.com/open?id=1A6wpgitxqcTYqeO2lWmytFlA6IIxPiA1" TargetMode="External"/><Relationship Id="rId98" Type="http://schemas.openxmlformats.org/officeDocument/2006/relationships/hyperlink" Target="https://drive.google.com/open?id=1ahVAQ53mKnGJ5Av9sQe8RDOxvUpkWBdN" TargetMode="External"/><Relationship Id="rId13" Type="http://schemas.openxmlformats.org/officeDocument/2006/relationships/hyperlink" Target="https://drive.google.com/open?id=1DOQxRWIYfZEDbX5CNzQ-Sir8cY9pAKSX" TargetMode="External"/><Relationship Id="rId12" Type="http://schemas.openxmlformats.org/officeDocument/2006/relationships/hyperlink" Target="https://drive.google.com/open?id=1yGtiahERFIT2SKxknwEn2JpCg7zoiLIp" TargetMode="External"/><Relationship Id="rId91" Type="http://schemas.openxmlformats.org/officeDocument/2006/relationships/hyperlink" Target="https://drive.google.com/open?id=1OdrIcQyG4JnrtLuArPQpsbQVVOvbVcgA" TargetMode="External"/><Relationship Id="rId90" Type="http://schemas.openxmlformats.org/officeDocument/2006/relationships/hyperlink" Target="https://drive.google.com/open?id=1zevKM4-1NMbeOqyBYAm2Wf_uQPRjtMDu" TargetMode="External"/><Relationship Id="rId93" Type="http://schemas.openxmlformats.org/officeDocument/2006/relationships/hyperlink" Target="https://drive.google.com/open?id=1_WeJcUkLDfWr2gMN5QvK-1XLu41RmiPy" TargetMode="External"/><Relationship Id="rId92" Type="http://schemas.openxmlformats.org/officeDocument/2006/relationships/hyperlink" Target="https://drive.google.com/open?id=1elgaNO0OgVOdpRxWltImeBem_2j-030-" TargetMode="External"/><Relationship Id="rId118" Type="http://schemas.openxmlformats.org/officeDocument/2006/relationships/hyperlink" Target="https://drive.google.com/open?id=1_FyGDIDmiEd6g629MPhPNNGoHRPlj2G2" TargetMode="External"/><Relationship Id="rId117" Type="http://schemas.openxmlformats.org/officeDocument/2006/relationships/hyperlink" Target="https://drive.google.com/open?id=1aOO6QaaqcmkJ72Po9hskHjpzJIwCZdtc" TargetMode="External"/><Relationship Id="rId116" Type="http://schemas.openxmlformats.org/officeDocument/2006/relationships/hyperlink" Target="https://drive.google.com/open?id=1yDz72H9Dz1ELLibtBeyS2ExBGC1M-pAn" TargetMode="External"/><Relationship Id="rId115" Type="http://schemas.openxmlformats.org/officeDocument/2006/relationships/hyperlink" Target="https://drive.google.com/open?id=1U7oj2Fi6vmfUH6FCs8DjPRuVUW7uRBdu" TargetMode="External"/><Relationship Id="rId119" Type="http://schemas.openxmlformats.org/officeDocument/2006/relationships/hyperlink" Target="https://drive.google.com/open?id=1t3echv7-mj5Kkl-SJgrB0RWu4DUXpA2X" TargetMode="External"/><Relationship Id="rId15" Type="http://schemas.openxmlformats.org/officeDocument/2006/relationships/hyperlink" Target="https://drive.google.com/open?id=114LbZ9kWXMNWeHPUp_2VQ6LGj-TqQAza" TargetMode="External"/><Relationship Id="rId110" Type="http://schemas.openxmlformats.org/officeDocument/2006/relationships/hyperlink" Target="https://drive.google.com/open?id=188opiOD6QJd3vVUoyKO2IMVOAMdVJRRl" TargetMode="External"/><Relationship Id="rId14" Type="http://schemas.openxmlformats.org/officeDocument/2006/relationships/hyperlink" Target="https://drive.google.com/open?id=15K8K5GYRXCqT46TXK8zSz5aklAze6qsU" TargetMode="External"/><Relationship Id="rId17" Type="http://schemas.openxmlformats.org/officeDocument/2006/relationships/hyperlink" Target="https://drive.google.com/open?id=1Femotu-vd9KSwmsH-iuj0lbJnZIGzMqb" TargetMode="External"/><Relationship Id="rId16" Type="http://schemas.openxmlformats.org/officeDocument/2006/relationships/hyperlink" Target="https://drive.google.com/open?id=16XlSz2lRaxodSB8vQBTwdTDS6BOFdRDm" TargetMode="External"/><Relationship Id="rId19" Type="http://schemas.openxmlformats.org/officeDocument/2006/relationships/hyperlink" Target="https://drive.google.com/open?id=1V-aff4CDap06D1lysHxbbPVEgtw4WBAX" TargetMode="External"/><Relationship Id="rId114" Type="http://schemas.openxmlformats.org/officeDocument/2006/relationships/hyperlink" Target="https://drive.google.com/open?id=1FW_Xl3a4qWknVqiXvgpuR5wMbZjKFOq7" TargetMode="External"/><Relationship Id="rId18" Type="http://schemas.openxmlformats.org/officeDocument/2006/relationships/hyperlink" Target="https://drive.google.com/open?id=1T0mBzkHJjDzHJ1_Qv14LAbaMp8j5W0Uf" TargetMode="External"/><Relationship Id="rId113" Type="http://schemas.openxmlformats.org/officeDocument/2006/relationships/hyperlink" Target="https://drive.google.com/open?id=1_7TwvupXjH7ox_w56Fh4zsYd_djn6S3Z" TargetMode="External"/><Relationship Id="rId112" Type="http://schemas.openxmlformats.org/officeDocument/2006/relationships/hyperlink" Target="https://drive.google.com/open?id=14dV5u2_5PmZITVz8BH290MJ8gR6QEgiO" TargetMode="External"/><Relationship Id="rId111" Type="http://schemas.openxmlformats.org/officeDocument/2006/relationships/hyperlink" Target="https://drive.google.com/open?id=1Mhlcb3GaJQWFusqWhL_MAAmBJjHhJDRF" TargetMode="External"/><Relationship Id="rId84" Type="http://schemas.openxmlformats.org/officeDocument/2006/relationships/hyperlink" Target="https://drive.google.com/open?id=1aQT8Mg5fim3tlDHES-iPTi4yuuh6FDbr" TargetMode="External"/><Relationship Id="rId83" Type="http://schemas.openxmlformats.org/officeDocument/2006/relationships/hyperlink" Target="https://drive.google.com/open?id=11-y742is-CuhHxL2T42pRRWLAAP8HhLI" TargetMode="External"/><Relationship Id="rId86" Type="http://schemas.openxmlformats.org/officeDocument/2006/relationships/hyperlink" Target="https://drive.google.com/open?id=1j0C12TfvUZ3Khge9xSI77Y5dw5pVBYQr" TargetMode="External"/><Relationship Id="rId85" Type="http://schemas.openxmlformats.org/officeDocument/2006/relationships/hyperlink" Target="https://drive.google.com/open?id=1XHiRApd-YGlutvm2oHK0jorl7bdncXcE" TargetMode="External"/><Relationship Id="rId88" Type="http://schemas.openxmlformats.org/officeDocument/2006/relationships/hyperlink" Target="https://drive.google.com/open?id=1Ff0HNhXabFa-UJNOLm4ePs37ZFGS1Mtl" TargetMode="External"/><Relationship Id="rId87" Type="http://schemas.openxmlformats.org/officeDocument/2006/relationships/hyperlink" Target="https://drive.google.com/open?id=11CyiGGxNeBZNGwib8LePcUcMdKIMjTMf" TargetMode="External"/><Relationship Id="rId89" Type="http://schemas.openxmlformats.org/officeDocument/2006/relationships/hyperlink" Target="https://drive.google.com/open?id=1dscZt8FIZzVN3PNY_7s6fPU1XjMctv-_" TargetMode="External"/><Relationship Id="rId80" Type="http://schemas.openxmlformats.org/officeDocument/2006/relationships/hyperlink" Target="https://drive.google.com/open?id=1f9fPGmz5dpTP80HfOpktxPpUoxCyvOzz" TargetMode="External"/><Relationship Id="rId82" Type="http://schemas.openxmlformats.org/officeDocument/2006/relationships/hyperlink" Target="https://drive.google.com/open?id=1_Hyrz3cGyd7rKGo9fAs4275ZPtixDPkT" TargetMode="External"/><Relationship Id="rId81" Type="http://schemas.openxmlformats.org/officeDocument/2006/relationships/hyperlink" Target="https://drive.google.com/open?id=1Iv4zMqGns7yZu9adawN8Sv2jqbaNPheQ" TargetMode="External"/><Relationship Id="rId1" Type="http://schemas.openxmlformats.org/officeDocument/2006/relationships/hyperlink" Target="https://drive.google.com/open?id=1Z0k3lZpIh1xe7LVV9ao0fwDp4lmRMFyI" TargetMode="External"/><Relationship Id="rId2" Type="http://schemas.openxmlformats.org/officeDocument/2006/relationships/hyperlink" Target="https://drive.google.com/open?id=1ONovuNh7v2fsfudR2wCYEN8LX-zWRx-Y" TargetMode="External"/><Relationship Id="rId3" Type="http://schemas.openxmlformats.org/officeDocument/2006/relationships/hyperlink" Target="https://drive.google.com/open?id=1A5j8NzV0fAhIixFdhsj-DC4jN1G_yLYk" TargetMode="External"/><Relationship Id="rId4" Type="http://schemas.openxmlformats.org/officeDocument/2006/relationships/hyperlink" Target="https://drive.google.com/open?id=1ZGcPoXBQlnnOgCz5p6rCoP9ubrmDPMLp" TargetMode="External"/><Relationship Id="rId9" Type="http://schemas.openxmlformats.org/officeDocument/2006/relationships/hyperlink" Target="https://drive.google.com/open?id=1hZc-XyAqxuWFCkcJZl62hKboqyfFtSjA" TargetMode="External"/><Relationship Id="rId141" Type="http://schemas.openxmlformats.org/officeDocument/2006/relationships/table" Target="../tables/table1.xml"/><Relationship Id="rId5" Type="http://schemas.openxmlformats.org/officeDocument/2006/relationships/hyperlink" Target="https://drive.google.com/open?id=11UjY31dR2-uU8uc0Ia4-gTrqsvhzN4Iu" TargetMode="External"/><Relationship Id="rId6" Type="http://schemas.openxmlformats.org/officeDocument/2006/relationships/hyperlink" Target="https://drive.google.com/open?id=1f__hkQMVuqk9qdoEjXSNaok7wgH6x8ja" TargetMode="External"/><Relationship Id="rId7" Type="http://schemas.openxmlformats.org/officeDocument/2006/relationships/hyperlink" Target="https://drive.google.com/open?id=1g8jsLvOc6R5sP_zO9wWI2sLonM5GJTC-" TargetMode="External"/><Relationship Id="rId8" Type="http://schemas.openxmlformats.org/officeDocument/2006/relationships/hyperlink" Target="https://drive.google.com/open?id=13cTYj2isC--HtQzdLJBl1kKTVTKUbxFw" TargetMode="External"/><Relationship Id="rId73" Type="http://schemas.openxmlformats.org/officeDocument/2006/relationships/hyperlink" Target="https://drive.google.com/open?id=1PV-DQLvgn89B-P7gKuJjnSDxERFHu8q7" TargetMode="External"/><Relationship Id="rId72" Type="http://schemas.openxmlformats.org/officeDocument/2006/relationships/hyperlink" Target="https://drive.google.com/open?id=12b7vT8Q1SbfTJ3K5d-bnoBx2Ix2serZH" TargetMode="External"/><Relationship Id="rId75" Type="http://schemas.openxmlformats.org/officeDocument/2006/relationships/hyperlink" Target="https://drive.google.com/open?id=1WRVzGe1ShhUB6-lrknzmCfb5B7Wm_fMX" TargetMode="External"/><Relationship Id="rId74" Type="http://schemas.openxmlformats.org/officeDocument/2006/relationships/hyperlink" Target="https://drive.google.com/open?id=1In5TAFRCqIsgI1eJI3nVF2nC5imv_Xvf" TargetMode="External"/><Relationship Id="rId77" Type="http://schemas.openxmlformats.org/officeDocument/2006/relationships/hyperlink" Target="https://drive.google.com/open?id=13vT-hvXhZ4DxYvHb-GdbwwkxRT1IJmXy" TargetMode="External"/><Relationship Id="rId76" Type="http://schemas.openxmlformats.org/officeDocument/2006/relationships/hyperlink" Target="https://drive.google.com/open?id=1qA8nYxFNbo2Sp7KLXn5WbIPQ2uyfA_01" TargetMode="External"/><Relationship Id="rId79" Type="http://schemas.openxmlformats.org/officeDocument/2006/relationships/hyperlink" Target="https://drive.google.com/open?id=1sSq3F_Z8YDpuBwzgtW1tSmw_RO8x50Qq" TargetMode="External"/><Relationship Id="rId78" Type="http://schemas.openxmlformats.org/officeDocument/2006/relationships/hyperlink" Target="https://drive.google.com/open?id=1lPaXGJCr2FOzJfL6ExJtBmaM29eCKZG3" TargetMode="External"/><Relationship Id="rId71" Type="http://schemas.openxmlformats.org/officeDocument/2006/relationships/hyperlink" Target="https://drive.google.com/open?id=1ZuYQMdQqqnvvlUFMbuPExvCv6rLQkfWd" TargetMode="External"/><Relationship Id="rId70" Type="http://schemas.openxmlformats.org/officeDocument/2006/relationships/hyperlink" Target="https://drive.google.com/open?id=1rOJuH-6uUmi1r8VMwKKiMDzRFUmvNShT" TargetMode="External"/><Relationship Id="rId139" Type="http://schemas.openxmlformats.org/officeDocument/2006/relationships/drawing" Target="../drawings/drawing1.xml"/><Relationship Id="rId138" Type="http://schemas.openxmlformats.org/officeDocument/2006/relationships/hyperlink" Target="https://drive.google.com/open?id=1BdXUt6redht3YC3OAo8416GdFYKn3ROk" TargetMode="External"/><Relationship Id="rId137" Type="http://schemas.openxmlformats.org/officeDocument/2006/relationships/hyperlink" Target="https://drive.google.com/open?id=12S8jTayl0XCQvmzhhVZ9-roUuyAPFny8" TargetMode="External"/><Relationship Id="rId132" Type="http://schemas.openxmlformats.org/officeDocument/2006/relationships/hyperlink" Target="https://drive.google.com/open?id=1bV7JM6whVR5FBp37Mv4GW9AtbZXzgF5R" TargetMode="External"/><Relationship Id="rId131" Type="http://schemas.openxmlformats.org/officeDocument/2006/relationships/hyperlink" Target="https://drive.google.com/open?id=1V-pFVZge_fPEvye08PZR1gN-aHQS5jPg" TargetMode="External"/><Relationship Id="rId130" Type="http://schemas.openxmlformats.org/officeDocument/2006/relationships/hyperlink" Target="https://drive.google.com/open?id=1Ff4DSVgFSqP6RApdopttuDyLpOHS6Xl0" TargetMode="External"/><Relationship Id="rId136" Type="http://schemas.openxmlformats.org/officeDocument/2006/relationships/hyperlink" Target="https://drive.google.com/open?id=1icv1P9PGks7k-gouvkUcL_QAVzbt5tve" TargetMode="External"/><Relationship Id="rId135" Type="http://schemas.openxmlformats.org/officeDocument/2006/relationships/hyperlink" Target="https://drive.google.com/open?id=1l9wpNgUqzCThgh9hIwDpghKxXLZpwjaQ" TargetMode="External"/><Relationship Id="rId134" Type="http://schemas.openxmlformats.org/officeDocument/2006/relationships/hyperlink" Target="https://drive.google.com/open?id=1G8v0RfBJjpckFelPa4D71Lw-PWLgO9H4" TargetMode="External"/><Relationship Id="rId133" Type="http://schemas.openxmlformats.org/officeDocument/2006/relationships/hyperlink" Target="https://drive.google.com/open?id=1qWzNDhw_ns2O1N2CM2WNEU_MrgrhLN-E" TargetMode="External"/><Relationship Id="rId62" Type="http://schemas.openxmlformats.org/officeDocument/2006/relationships/hyperlink" Target="https://drive.google.com/open?id=1ZA9L6Vr-dEvo04WnHAzJF_xu9iG_Vqk9" TargetMode="External"/><Relationship Id="rId61" Type="http://schemas.openxmlformats.org/officeDocument/2006/relationships/hyperlink" Target="https://drive.google.com/open?id=1A1UEHBrP6VPRqgYh-AIbPxxc6eB5Nzv5" TargetMode="External"/><Relationship Id="rId64" Type="http://schemas.openxmlformats.org/officeDocument/2006/relationships/hyperlink" Target="https://drive.google.com/open?id=1Wg4GVbghwsR2bQ2oWymInkd-birnBR29" TargetMode="External"/><Relationship Id="rId63" Type="http://schemas.openxmlformats.org/officeDocument/2006/relationships/hyperlink" Target="https://drive.google.com/open?id=1UmpDzSd20M8gUsMnfKOH1AIj5hWrTfDT" TargetMode="External"/><Relationship Id="rId66" Type="http://schemas.openxmlformats.org/officeDocument/2006/relationships/hyperlink" Target="https://drive.google.com/open?id=1Wp4BIDXK7sGdwYBJb-XrFNXobsUNLGL_" TargetMode="External"/><Relationship Id="rId65" Type="http://schemas.openxmlformats.org/officeDocument/2006/relationships/hyperlink" Target="https://drive.google.com/open?id=12FYKa2kTNPklMwc3ANJjg8g5ar8Zy_4e" TargetMode="External"/><Relationship Id="rId68" Type="http://schemas.openxmlformats.org/officeDocument/2006/relationships/hyperlink" Target="https://drive.google.com/open?id=1Rf0LojywcFPNt7X32quDFRm_6W2tr3Ri" TargetMode="External"/><Relationship Id="rId67" Type="http://schemas.openxmlformats.org/officeDocument/2006/relationships/hyperlink" Target="https://drive.google.com/open?id=1pMZ_yXxNnjmHO0ilA6LDqcijkjlmSU68" TargetMode="External"/><Relationship Id="rId60" Type="http://schemas.openxmlformats.org/officeDocument/2006/relationships/hyperlink" Target="https://drive.google.com/open?id=1Z9NP-FlFVx3qeHNEjUh3AnCEXVM0M0jF" TargetMode="External"/><Relationship Id="rId69" Type="http://schemas.openxmlformats.org/officeDocument/2006/relationships/hyperlink" Target="https://drive.google.com/open?id=1uIq0FO-jjYiMdg-E1zztZZn0bnKqsiqA" TargetMode="External"/><Relationship Id="rId51" Type="http://schemas.openxmlformats.org/officeDocument/2006/relationships/hyperlink" Target="https://drive.google.com/open?id=1u5cVVgSNSxZ0t7FB7hPd8eLFvDkdeSKU" TargetMode="External"/><Relationship Id="rId50" Type="http://schemas.openxmlformats.org/officeDocument/2006/relationships/hyperlink" Target="https://drive.google.com/open?id=1o2U5qzneKN11lWmcN5TEHObJUF2zoWyj" TargetMode="External"/><Relationship Id="rId53" Type="http://schemas.openxmlformats.org/officeDocument/2006/relationships/hyperlink" Target="https://drive.google.com/open?id=1x63wpv3xvAG-FI_sDgC_avEqlL27vFY-" TargetMode="External"/><Relationship Id="rId52" Type="http://schemas.openxmlformats.org/officeDocument/2006/relationships/hyperlink" Target="https://drive.google.com/open?id=1qvKXq37BtdsMYWSWDdlwCFrPJeVZlAQ6" TargetMode="External"/><Relationship Id="rId55" Type="http://schemas.openxmlformats.org/officeDocument/2006/relationships/hyperlink" Target="https://drive.google.com/open?id=1pDyDcxOnIepvOj76w4Lt-Obbw2rd1Z6i" TargetMode="External"/><Relationship Id="rId54" Type="http://schemas.openxmlformats.org/officeDocument/2006/relationships/hyperlink" Target="https://drive.google.com/open?id=1S9S5uSEZVhWDu4kTZdvYAdTvBvgA18oU" TargetMode="External"/><Relationship Id="rId57" Type="http://schemas.openxmlformats.org/officeDocument/2006/relationships/hyperlink" Target="https://drive.google.com/open?id=19lxjsQnZ1OzUEsXE7A5odvh8BrCjKdPQ" TargetMode="External"/><Relationship Id="rId56" Type="http://schemas.openxmlformats.org/officeDocument/2006/relationships/hyperlink" Target="https://drive.google.com/open?id=1U4JhLCP8gMgmAmYUPRlQULKe0ONnlUHy" TargetMode="External"/><Relationship Id="rId59" Type="http://schemas.openxmlformats.org/officeDocument/2006/relationships/hyperlink" Target="https://drive.google.com/open?id=1nsl0foQ0r9vBFyLlWyc4m45x_w5tO9G3" TargetMode="External"/><Relationship Id="rId58" Type="http://schemas.openxmlformats.org/officeDocument/2006/relationships/hyperlink" Target="https://drive.google.com/open?id=1Q6JCYl8P2bfBiSbfQLC5EJS-SRT-Af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min="1" max="1" width="10.75"/>
    <col customWidth="1" min="2" max="2" width="18.88"/>
    <col customWidth="1" min="3" max="3" width="20.88"/>
    <col customWidth="1" min="4" max="4" width="18.88"/>
    <col customWidth="1" min="5" max="5" width="19.38"/>
    <col customWidth="1" min="6" max="6" width="21.88"/>
    <col customWidth="1" min="7" max="7" width="18.5"/>
    <col customWidth="1" min="8" max="8" width="18.88"/>
    <col customWidth="1" min="9" max="9" width="26.88"/>
    <col customWidth="1" min="10" max="10" width="40.0"/>
    <col customWidth="1" min="11" max="11" width="18.88"/>
    <col customWidth="1" min="12" max="12" width="26.5"/>
    <col customWidth="1" min="13" max="13" width="24.13"/>
    <col customWidth="1" min="14" max="1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4" t="s">
        <v>12</v>
      </c>
      <c r="N1" s="5" t="s">
        <v>13</v>
      </c>
      <c r="O1" s="5" t="s">
        <v>14</v>
      </c>
    </row>
    <row r="2" ht="22.5" customHeight="1">
      <c r="A2" s="6" t="str">
        <f t="shared" ref="A2:A1198" si="1">month(B2)&amp;"/"&amp;year(B2)</f>
        <v>9/2025</v>
      </c>
      <c r="B2" s="6">
        <v>45928.76743211805</v>
      </c>
      <c r="C2" s="4" t="s">
        <v>15</v>
      </c>
      <c r="D2" s="4" t="s">
        <v>16</v>
      </c>
      <c r="E2" s="7" t="s">
        <v>17</v>
      </c>
      <c r="F2" s="4" t="s">
        <v>18</v>
      </c>
      <c r="G2" s="4" t="s">
        <v>19</v>
      </c>
      <c r="H2" s="4" t="s">
        <v>20</v>
      </c>
      <c r="I2" s="8" t="s">
        <v>21</v>
      </c>
      <c r="J2" s="4">
        <v>1.85825082200144E14</v>
      </c>
      <c r="K2" s="4">
        <v>1.85825082200144E14</v>
      </c>
      <c r="L2" s="1"/>
      <c r="M2" s="9"/>
      <c r="N2" s="9"/>
      <c r="O2" s="9"/>
    </row>
    <row r="3" ht="22.5" customHeight="1">
      <c r="A3" s="10" t="str">
        <f t="shared" si="1"/>
        <v>9/2025</v>
      </c>
      <c r="B3" s="10">
        <v>45929.54308023148</v>
      </c>
      <c r="C3" s="11" t="s">
        <v>22</v>
      </c>
      <c r="D3" s="11" t="s">
        <v>23</v>
      </c>
      <c r="E3" s="12" t="s">
        <v>24</v>
      </c>
      <c r="F3" s="11" t="s">
        <v>18</v>
      </c>
      <c r="G3" s="11" t="s">
        <v>25</v>
      </c>
      <c r="H3" s="11" t="s">
        <v>20</v>
      </c>
      <c r="I3" s="13" t="s">
        <v>26</v>
      </c>
      <c r="J3" s="11" t="s">
        <v>27</v>
      </c>
      <c r="K3" s="14"/>
      <c r="L3" s="14"/>
      <c r="M3" s="9"/>
      <c r="N3" s="9"/>
      <c r="O3" s="9"/>
    </row>
    <row r="4" ht="22.5" customHeight="1">
      <c r="A4" s="10" t="str">
        <f t="shared" si="1"/>
        <v>9/2025</v>
      </c>
      <c r="B4" s="10">
        <v>45930.66363476852</v>
      </c>
      <c r="C4" s="11" t="s">
        <v>15</v>
      </c>
      <c r="D4" s="11" t="s">
        <v>28</v>
      </c>
      <c r="E4" s="12" t="s">
        <v>29</v>
      </c>
      <c r="F4" s="11" t="s">
        <v>18</v>
      </c>
      <c r="G4" s="11" t="s">
        <v>30</v>
      </c>
      <c r="H4" s="11" t="s">
        <v>20</v>
      </c>
      <c r="I4" s="11" t="s">
        <v>31</v>
      </c>
      <c r="J4" s="11">
        <v>1.86825082100144E14</v>
      </c>
      <c r="K4" s="11">
        <v>1.86825082100144E14</v>
      </c>
      <c r="L4" s="14"/>
      <c r="M4" s="9"/>
      <c r="N4" s="9"/>
      <c r="O4" s="9"/>
    </row>
    <row r="5" ht="22.5" customHeight="1">
      <c r="A5" s="10" t="str">
        <f t="shared" si="1"/>
        <v>10/2025</v>
      </c>
      <c r="B5" s="10">
        <v>45931.64006657407</v>
      </c>
      <c r="C5" s="11" t="s">
        <v>32</v>
      </c>
      <c r="D5" s="11" t="s">
        <v>33</v>
      </c>
      <c r="E5" s="12" t="s">
        <v>34</v>
      </c>
      <c r="F5" s="11" t="s">
        <v>18</v>
      </c>
      <c r="G5" s="11" t="s">
        <v>35</v>
      </c>
      <c r="H5" s="11" t="s">
        <v>36</v>
      </c>
      <c r="I5" s="11" t="s">
        <v>37</v>
      </c>
      <c r="J5" s="11" t="s">
        <v>38</v>
      </c>
      <c r="K5" s="14"/>
      <c r="L5" s="14"/>
      <c r="M5" s="9"/>
      <c r="N5" s="9"/>
      <c r="O5" s="9"/>
    </row>
    <row r="6" ht="22.5" customHeight="1">
      <c r="A6" s="10" t="str">
        <f t="shared" si="1"/>
        <v>10/2025</v>
      </c>
      <c r="B6" s="10">
        <v>45932.675534548616</v>
      </c>
      <c r="C6" s="11" t="s">
        <v>39</v>
      </c>
      <c r="D6" s="11" t="s">
        <v>40</v>
      </c>
      <c r="E6" s="12" t="s">
        <v>41</v>
      </c>
      <c r="F6" s="11" t="s">
        <v>42</v>
      </c>
      <c r="G6" s="11" t="s">
        <v>43</v>
      </c>
      <c r="H6" s="11" t="s">
        <v>44</v>
      </c>
      <c r="I6" s="13" t="s">
        <v>45</v>
      </c>
      <c r="J6" s="11" t="s">
        <v>46</v>
      </c>
      <c r="K6" s="14"/>
      <c r="L6" s="14"/>
      <c r="M6" s="15"/>
      <c r="N6" s="16"/>
      <c r="O6" s="16"/>
    </row>
    <row r="7" ht="22.5" customHeight="1">
      <c r="A7" s="10" t="str">
        <f t="shared" si="1"/>
        <v>10/2025</v>
      </c>
      <c r="B7" s="10">
        <v>45932.68944</v>
      </c>
      <c r="C7" s="11" t="s">
        <v>15</v>
      </c>
      <c r="D7" s="11" t="s">
        <v>47</v>
      </c>
      <c r="E7" s="12" t="s">
        <v>48</v>
      </c>
      <c r="F7" s="11" t="s">
        <v>18</v>
      </c>
      <c r="G7" s="11" t="s">
        <v>49</v>
      </c>
      <c r="H7" s="11" t="s">
        <v>20</v>
      </c>
      <c r="I7" s="13" t="s">
        <v>50</v>
      </c>
      <c r="J7" s="11">
        <v>1.84825082100088E14</v>
      </c>
      <c r="K7" s="11">
        <v>1.84825082100088E14</v>
      </c>
      <c r="L7" s="14"/>
      <c r="M7" s="15"/>
      <c r="N7" s="16"/>
      <c r="O7" s="16"/>
    </row>
    <row r="8" ht="22.5" customHeight="1">
      <c r="A8" s="10" t="str">
        <f t="shared" si="1"/>
        <v>10/2025</v>
      </c>
      <c r="B8" s="10">
        <v>45933.76603915509</v>
      </c>
      <c r="C8" s="11" t="s">
        <v>51</v>
      </c>
      <c r="D8" s="11" t="s">
        <v>52</v>
      </c>
      <c r="E8" s="12" t="s">
        <v>53</v>
      </c>
      <c r="F8" s="11" t="s">
        <v>18</v>
      </c>
      <c r="G8" s="11">
        <v>3626.0</v>
      </c>
      <c r="H8" s="11" t="s">
        <v>20</v>
      </c>
      <c r="I8" s="11" t="s">
        <v>54</v>
      </c>
      <c r="J8" s="11" t="s">
        <v>55</v>
      </c>
      <c r="K8" s="11">
        <v>1.86825082100169E14</v>
      </c>
      <c r="L8" s="14"/>
      <c r="M8" s="15"/>
      <c r="N8" s="16"/>
      <c r="O8" s="16"/>
    </row>
    <row r="9" ht="22.5" customHeight="1">
      <c r="A9" s="10" t="str">
        <f t="shared" si="1"/>
        <v>10/2025</v>
      </c>
      <c r="B9" s="10">
        <v>45933.7764756713</v>
      </c>
      <c r="C9" s="11" t="s">
        <v>56</v>
      </c>
      <c r="D9" s="11" t="s">
        <v>57</v>
      </c>
      <c r="E9" s="12" t="s">
        <v>58</v>
      </c>
      <c r="F9" s="11" t="s">
        <v>18</v>
      </c>
      <c r="G9" s="11" t="s">
        <v>59</v>
      </c>
      <c r="H9" s="11" t="s">
        <v>20</v>
      </c>
      <c r="I9" s="11" t="s">
        <v>60</v>
      </c>
      <c r="J9" s="11">
        <v>1.84825082100085E14</v>
      </c>
      <c r="K9" s="11">
        <v>1.84825082100085E14</v>
      </c>
      <c r="L9" s="14"/>
      <c r="M9" s="15"/>
      <c r="N9" s="16"/>
      <c r="O9" s="16"/>
    </row>
    <row r="10" ht="22.5" customHeight="1">
      <c r="A10" s="10" t="str">
        <f t="shared" si="1"/>
        <v>10/2025</v>
      </c>
      <c r="B10" s="10">
        <v>45933.79596071759</v>
      </c>
      <c r="C10" s="11" t="s">
        <v>61</v>
      </c>
      <c r="D10" s="11" t="s">
        <v>62</v>
      </c>
      <c r="E10" s="12" t="s">
        <v>63</v>
      </c>
      <c r="F10" s="11" t="s">
        <v>64</v>
      </c>
      <c r="G10" s="11">
        <v>5676.0</v>
      </c>
      <c r="H10" s="11" t="s">
        <v>20</v>
      </c>
      <c r="I10" s="11" t="s">
        <v>65</v>
      </c>
      <c r="J10" s="11">
        <v>1.84825082100223E14</v>
      </c>
      <c r="K10" s="11">
        <v>1.84825082100223E14</v>
      </c>
      <c r="L10" s="14"/>
      <c r="M10" s="15"/>
      <c r="N10" s="16"/>
      <c r="O10" s="16"/>
    </row>
    <row r="11" ht="22.5" customHeight="1">
      <c r="A11" s="10" t="str">
        <f t="shared" si="1"/>
        <v>10/2025</v>
      </c>
      <c r="B11" s="10">
        <v>45933.80324273148</v>
      </c>
      <c r="C11" s="11" t="s">
        <v>66</v>
      </c>
      <c r="D11" s="11" t="s">
        <v>67</v>
      </c>
      <c r="E11" s="12" t="s">
        <v>68</v>
      </c>
      <c r="F11" s="11" t="s">
        <v>69</v>
      </c>
      <c r="G11" s="11">
        <v>3626.0</v>
      </c>
      <c r="H11" s="11" t="s">
        <v>44</v>
      </c>
      <c r="I11" s="11" t="s">
        <v>70</v>
      </c>
      <c r="J11" s="11">
        <v>1.86825082100072E14</v>
      </c>
      <c r="K11" s="11">
        <v>1.86825082100072E14</v>
      </c>
      <c r="L11" s="14"/>
      <c r="M11" s="15"/>
      <c r="N11" s="16"/>
      <c r="O11" s="16"/>
    </row>
    <row r="12" ht="22.5" customHeight="1">
      <c r="A12" s="10" t="str">
        <f t="shared" si="1"/>
        <v>10/2025</v>
      </c>
      <c r="B12" s="10">
        <v>45933.80591717592</v>
      </c>
      <c r="C12" s="11" t="s">
        <v>71</v>
      </c>
      <c r="D12" s="11" t="s">
        <v>72</v>
      </c>
      <c r="E12" s="12" t="s">
        <v>73</v>
      </c>
      <c r="F12" s="11" t="s">
        <v>74</v>
      </c>
      <c r="G12" s="11">
        <v>5676.0</v>
      </c>
      <c r="H12" s="11" t="s">
        <v>20</v>
      </c>
      <c r="I12" s="11" t="s">
        <v>75</v>
      </c>
      <c r="J12" s="11" t="s">
        <v>76</v>
      </c>
      <c r="K12" s="11">
        <v>1.84825082100027E14</v>
      </c>
      <c r="L12" s="14"/>
      <c r="M12" s="15"/>
      <c r="N12" s="16"/>
      <c r="O12" s="16"/>
    </row>
    <row r="13" ht="22.5" customHeight="1">
      <c r="A13" s="10" t="str">
        <f t="shared" si="1"/>
        <v>10/2025</v>
      </c>
      <c r="B13" s="10">
        <v>45933.91382313657</v>
      </c>
      <c r="C13" s="11" t="s">
        <v>77</v>
      </c>
      <c r="D13" s="11" t="s">
        <v>78</v>
      </c>
      <c r="E13" s="12" t="s">
        <v>79</v>
      </c>
      <c r="F13" s="11" t="s">
        <v>64</v>
      </c>
      <c r="G13" s="11" t="s">
        <v>80</v>
      </c>
      <c r="H13" s="11" t="s">
        <v>20</v>
      </c>
      <c r="I13" s="17" t="s">
        <v>81</v>
      </c>
      <c r="J13" s="11" t="s">
        <v>82</v>
      </c>
      <c r="K13" s="11">
        <v>1.84825082100236E14</v>
      </c>
      <c r="L13" s="14"/>
      <c r="M13" s="15"/>
      <c r="N13" s="16"/>
      <c r="O13" s="16"/>
    </row>
    <row r="14" ht="22.5" customHeight="1">
      <c r="A14" s="10" t="str">
        <f t="shared" si="1"/>
        <v>10/2025</v>
      </c>
      <c r="B14" s="10">
        <v>45933.92016443287</v>
      </c>
      <c r="C14" s="11" t="s">
        <v>77</v>
      </c>
      <c r="D14" s="11" t="s">
        <v>83</v>
      </c>
      <c r="E14" s="12" t="s">
        <v>84</v>
      </c>
      <c r="F14" s="11" t="s">
        <v>64</v>
      </c>
      <c r="G14" s="11" t="s">
        <v>85</v>
      </c>
      <c r="H14" s="11" t="s">
        <v>20</v>
      </c>
      <c r="I14" s="17" t="s">
        <v>86</v>
      </c>
      <c r="J14" s="11" t="s">
        <v>87</v>
      </c>
      <c r="K14" s="18">
        <v>1.84825082100215E14</v>
      </c>
      <c r="L14" s="19"/>
      <c r="M14" s="15"/>
      <c r="N14" s="16"/>
      <c r="O14" s="16"/>
    </row>
    <row r="15" ht="22.5" customHeight="1">
      <c r="A15" s="10" t="str">
        <f t="shared" si="1"/>
        <v>10/2025</v>
      </c>
      <c r="B15" s="10">
        <v>45933.926489502315</v>
      </c>
      <c r="C15" s="11" t="s">
        <v>77</v>
      </c>
      <c r="D15" s="11" t="s">
        <v>88</v>
      </c>
      <c r="E15" s="12" t="s">
        <v>89</v>
      </c>
      <c r="F15" s="11" t="s">
        <v>64</v>
      </c>
      <c r="G15" s="11" t="s">
        <v>90</v>
      </c>
      <c r="H15" s="11" t="s">
        <v>20</v>
      </c>
      <c r="I15" s="20" t="s">
        <v>91</v>
      </c>
      <c r="J15" s="11" t="s">
        <v>92</v>
      </c>
      <c r="K15" s="11">
        <v>1.86825082100166E14</v>
      </c>
      <c r="L15" s="14"/>
      <c r="M15" s="15"/>
      <c r="N15" s="16"/>
      <c r="O15" s="16"/>
    </row>
    <row r="16" ht="22.5" customHeight="1">
      <c r="A16" s="10" t="str">
        <f t="shared" si="1"/>
        <v>10/2025</v>
      </c>
      <c r="B16" s="10">
        <v>45934.78297465278</v>
      </c>
      <c r="C16" s="11" t="s">
        <v>32</v>
      </c>
      <c r="D16" s="11" t="s">
        <v>93</v>
      </c>
      <c r="E16" s="12" t="s">
        <v>94</v>
      </c>
      <c r="F16" s="11" t="s">
        <v>18</v>
      </c>
      <c r="G16" s="11" t="s">
        <v>95</v>
      </c>
      <c r="H16" s="11" t="s">
        <v>36</v>
      </c>
      <c r="I16" s="13" t="s">
        <v>96</v>
      </c>
      <c r="J16" s="11" t="s">
        <v>97</v>
      </c>
      <c r="K16" s="11">
        <v>1.39822060400144E14</v>
      </c>
      <c r="L16" s="14"/>
      <c r="M16" s="15"/>
      <c r="N16" s="16"/>
      <c r="O16" s="16"/>
    </row>
    <row r="17" ht="22.5" customHeight="1">
      <c r="A17" s="10" t="str">
        <f t="shared" si="1"/>
        <v>10/2025</v>
      </c>
      <c r="B17" s="10">
        <v>45935.800133888886</v>
      </c>
      <c r="C17" s="11" t="s">
        <v>56</v>
      </c>
      <c r="D17" s="11" t="s">
        <v>98</v>
      </c>
      <c r="E17" s="11" t="s">
        <v>99</v>
      </c>
      <c r="F17" s="11" t="s">
        <v>18</v>
      </c>
      <c r="G17" s="11" t="s">
        <v>100</v>
      </c>
      <c r="H17" s="11" t="s">
        <v>36</v>
      </c>
      <c r="I17" s="13" t="s">
        <v>101</v>
      </c>
      <c r="J17" s="11" t="s">
        <v>102</v>
      </c>
      <c r="K17" s="11">
        <v>1.19823112300002E14</v>
      </c>
      <c r="L17" s="14"/>
      <c r="M17" s="15"/>
      <c r="N17" s="16"/>
      <c r="O17" s="16"/>
    </row>
    <row r="18" ht="22.5" customHeight="1">
      <c r="A18" s="10" t="str">
        <f t="shared" si="1"/>
        <v>10/2025</v>
      </c>
      <c r="B18" s="10">
        <v>45936.6232041551</v>
      </c>
      <c r="C18" s="11" t="s">
        <v>103</v>
      </c>
      <c r="D18" s="11" t="s">
        <v>104</v>
      </c>
      <c r="E18" s="12" t="s">
        <v>105</v>
      </c>
      <c r="F18" s="11" t="s">
        <v>106</v>
      </c>
      <c r="G18" s="11" t="s">
        <v>107</v>
      </c>
      <c r="H18" s="11" t="s">
        <v>20</v>
      </c>
      <c r="I18" s="11" t="s">
        <v>108</v>
      </c>
      <c r="J18" s="11" t="s">
        <v>109</v>
      </c>
      <c r="K18" s="11">
        <v>1.84825082100028E14</v>
      </c>
      <c r="L18" s="14"/>
      <c r="M18" s="15"/>
      <c r="N18" s="16"/>
      <c r="O18" s="16"/>
    </row>
    <row r="19" ht="22.5" customHeight="1">
      <c r="A19" s="10" t="str">
        <f t="shared" si="1"/>
        <v>10/2025</v>
      </c>
      <c r="B19" s="10">
        <v>45936.75747165509</v>
      </c>
      <c r="C19" s="11" t="s">
        <v>32</v>
      </c>
      <c r="D19" s="11" t="s">
        <v>110</v>
      </c>
      <c r="E19" s="12" t="s">
        <v>111</v>
      </c>
      <c r="F19" s="11" t="s">
        <v>18</v>
      </c>
      <c r="G19" s="11" t="s">
        <v>112</v>
      </c>
      <c r="H19" s="11" t="s">
        <v>36</v>
      </c>
      <c r="I19" s="11" t="s">
        <v>113</v>
      </c>
      <c r="J19" s="11" t="s">
        <v>114</v>
      </c>
      <c r="K19" s="11">
        <v>8.92821080500414E14</v>
      </c>
      <c r="L19" s="14"/>
      <c r="M19" s="15"/>
      <c r="N19" s="16"/>
      <c r="O19" s="16"/>
    </row>
    <row r="20" ht="22.5" customHeight="1">
      <c r="A20" s="10" t="str">
        <f t="shared" si="1"/>
        <v>10/2025</v>
      </c>
      <c r="B20" s="10">
        <v>45937.714617418984</v>
      </c>
      <c r="C20" s="11" t="s">
        <v>115</v>
      </c>
      <c r="D20" s="11" t="s">
        <v>116</v>
      </c>
      <c r="E20" s="12" t="s">
        <v>117</v>
      </c>
      <c r="F20" s="11" t="s">
        <v>118</v>
      </c>
      <c r="G20" s="11" t="s">
        <v>119</v>
      </c>
      <c r="H20" s="11" t="s">
        <v>36</v>
      </c>
      <c r="I20" s="13" t="s">
        <v>120</v>
      </c>
      <c r="J20" s="11" t="s">
        <v>121</v>
      </c>
      <c r="K20" s="11" t="s">
        <v>122</v>
      </c>
      <c r="L20" s="14"/>
      <c r="M20" s="15"/>
      <c r="N20" s="16"/>
      <c r="O20" s="16"/>
    </row>
    <row r="21" ht="22.5" customHeight="1">
      <c r="A21" s="10" t="str">
        <f t="shared" si="1"/>
        <v>10/2025</v>
      </c>
      <c r="B21" s="10">
        <v>45938.512049895835</v>
      </c>
      <c r="C21" s="11" t="s">
        <v>123</v>
      </c>
      <c r="D21" s="11" t="s">
        <v>124</v>
      </c>
      <c r="E21" s="12" t="s">
        <v>125</v>
      </c>
      <c r="F21" s="11" t="s">
        <v>18</v>
      </c>
      <c r="G21" s="11" t="s">
        <v>59</v>
      </c>
      <c r="H21" s="11" t="s">
        <v>20</v>
      </c>
      <c r="I21" s="11" t="s">
        <v>126</v>
      </c>
      <c r="J21" s="11">
        <v>1.84825082100216E14</v>
      </c>
      <c r="K21" s="11">
        <v>1.84825082100216E14</v>
      </c>
      <c r="L21" s="14"/>
      <c r="M21" s="15"/>
      <c r="N21" s="16"/>
      <c r="O21" s="16"/>
    </row>
    <row r="22" ht="22.5" customHeight="1">
      <c r="A22" s="10" t="str">
        <f t="shared" si="1"/>
        <v>10/2025</v>
      </c>
      <c r="B22" s="10">
        <v>45938.71720346065</v>
      </c>
      <c r="C22" s="11" t="s">
        <v>115</v>
      </c>
      <c r="D22" s="11" t="s">
        <v>127</v>
      </c>
      <c r="E22" s="12" t="s">
        <v>128</v>
      </c>
      <c r="F22" s="11" t="s">
        <v>118</v>
      </c>
      <c r="G22" s="11" t="s">
        <v>129</v>
      </c>
      <c r="H22" s="11" t="s">
        <v>36</v>
      </c>
      <c r="I22" s="11" t="s">
        <v>130</v>
      </c>
      <c r="J22" s="11" t="s">
        <v>131</v>
      </c>
      <c r="K22" s="11">
        <v>1.39824091100401E14</v>
      </c>
      <c r="L22" s="14"/>
      <c r="M22" s="15"/>
      <c r="N22" s="16"/>
      <c r="O22" s="16"/>
    </row>
    <row r="23" ht="22.5" customHeight="1">
      <c r="A23" s="10" t="str">
        <f t="shared" si="1"/>
        <v>10/2025</v>
      </c>
      <c r="B23" s="10">
        <v>45939.698546423606</v>
      </c>
      <c r="C23" s="11" t="s">
        <v>132</v>
      </c>
      <c r="D23" s="11" t="s">
        <v>133</v>
      </c>
      <c r="E23" s="12" t="s">
        <v>134</v>
      </c>
      <c r="F23" s="11" t="s">
        <v>18</v>
      </c>
      <c r="G23" s="11" t="s">
        <v>135</v>
      </c>
      <c r="H23" s="11" t="s">
        <v>20</v>
      </c>
      <c r="I23" s="11" t="s">
        <v>136</v>
      </c>
      <c r="J23" s="11" t="s">
        <v>137</v>
      </c>
      <c r="K23" s="11">
        <v>1.86825082100147E14</v>
      </c>
      <c r="L23" s="14"/>
      <c r="M23" s="15"/>
      <c r="N23" s="16"/>
      <c r="O23" s="16"/>
    </row>
    <row r="24" ht="22.5" customHeight="1">
      <c r="A24" s="10" t="str">
        <f t="shared" si="1"/>
        <v>10/2025</v>
      </c>
      <c r="B24" s="10">
        <v>45939.70896372685</v>
      </c>
      <c r="C24" s="11" t="s">
        <v>115</v>
      </c>
      <c r="D24" s="11" t="s">
        <v>138</v>
      </c>
      <c r="E24" s="12" t="s">
        <v>139</v>
      </c>
      <c r="F24" s="11" t="s">
        <v>118</v>
      </c>
      <c r="G24" s="11" t="s">
        <v>140</v>
      </c>
      <c r="H24" s="11" t="s">
        <v>141</v>
      </c>
      <c r="I24" s="17" t="s">
        <v>142</v>
      </c>
      <c r="J24" s="11" t="s">
        <v>143</v>
      </c>
      <c r="K24" s="11" t="s">
        <v>122</v>
      </c>
      <c r="L24" s="14"/>
      <c r="M24" s="15"/>
      <c r="N24" s="16"/>
      <c r="O24" s="16"/>
    </row>
    <row r="25" ht="22.5" customHeight="1">
      <c r="A25" s="10" t="str">
        <f t="shared" si="1"/>
        <v>10/2025</v>
      </c>
      <c r="B25" s="10">
        <v>45941.548665254624</v>
      </c>
      <c r="C25" s="11" t="s">
        <v>51</v>
      </c>
      <c r="D25" s="11" t="s">
        <v>144</v>
      </c>
      <c r="E25" s="12" t="s">
        <v>145</v>
      </c>
      <c r="F25" s="11" t="s">
        <v>18</v>
      </c>
      <c r="G25" s="11" t="s">
        <v>30</v>
      </c>
      <c r="H25" s="11" t="s">
        <v>20</v>
      </c>
      <c r="I25" s="11" t="s">
        <v>146</v>
      </c>
      <c r="J25" s="11" t="s">
        <v>55</v>
      </c>
      <c r="K25" s="18">
        <v>1.86825082100106E14</v>
      </c>
      <c r="L25" s="19"/>
      <c r="M25" s="15"/>
      <c r="N25" s="16"/>
      <c r="O25" s="16"/>
    </row>
    <row r="26" ht="22.5" customHeight="1">
      <c r="A26" s="10" t="str">
        <f t="shared" si="1"/>
        <v>10/2025</v>
      </c>
      <c r="B26" s="10">
        <v>45941.69996471065</v>
      </c>
      <c r="C26" s="11" t="s">
        <v>39</v>
      </c>
      <c r="D26" s="11" t="s">
        <v>147</v>
      </c>
      <c r="E26" s="12" t="s">
        <v>148</v>
      </c>
      <c r="F26" s="11" t="s">
        <v>42</v>
      </c>
      <c r="G26" s="11" t="s">
        <v>149</v>
      </c>
      <c r="H26" s="11" t="s">
        <v>20</v>
      </c>
      <c r="I26" s="11" t="s">
        <v>150</v>
      </c>
      <c r="J26" s="11" t="s">
        <v>151</v>
      </c>
      <c r="K26" s="11">
        <v>1.84825082100029E14</v>
      </c>
      <c r="L26" s="14"/>
      <c r="M26" s="15"/>
      <c r="N26" s="16"/>
      <c r="O26" s="16"/>
    </row>
    <row r="27" ht="22.5" customHeight="1">
      <c r="A27" s="10" t="str">
        <f t="shared" si="1"/>
        <v>10/2025</v>
      </c>
      <c r="B27" s="10">
        <v>45941.81637140046</v>
      </c>
      <c r="C27" s="11" t="s">
        <v>115</v>
      </c>
      <c r="D27" s="11" t="s">
        <v>16</v>
      </c>
      <c r="E27" s="12" t="s">
        <v>17</v>
      </c>
      <c r="F27" s="11" t="s">
        <v>118</v>
      </c>
      <c r="G27" s="11" t="s">
        <v>152</v>
      </c>
      <c r="H27" s="11" t="s">
        <v>20</v>
      </c>
      <c r="I27" s="11" t="s">
        <v>153</v>
      </c>
      <c r="J27" s="11" t="s">
        <v>154</v>
      </c>
      <c r="K27" s="11" t="s">
        <v>122</v>
      </c>
      <c r="L27" s="14"/>
      <c r="M27" s="15"/>
      <c r="N27" s="16"/>
      <c r="O27" s="16"/>
    </row>
    <row r="28" ht="22.5" customHeight="1">
      <c r="A28" s="10" t="str">
        <f t="shared" si="1"/>
        <v>10/2025</v>
      </c>
      <c r="B28" s="10">
        <v>45943.780957615745</v>
      </c>
      <c r="C28" s="11" t="s">
        <v>77</v>
      </c>
      <c r="D28" s="11" t="s">
        <v>155</v>
      </c>
      <c r="E28" s="12" t="s">
        <v>156</v>
      </c>
      <c r="F28" s="11" t="s">
        <v>64</v>
      </c>
      <c r="G28" s="11" t="s">
        <v>85</v>
      </c>
      <c r="H28" s="11" t="s">
        <v>20</v>
      </c>
      <c r="I28" s="11" t="s">
        <v>157</v>
      </c>
      <c r="J28" s="11" t="s">
        <v>158</v>
      </c>
      <c r="K28" s="11">
        <v>1.84825082100217E14</v>
      </c>
      <c r="L28" s="14"/>
      <c r="M28" s="15"/>
      <c r="N28" s="16"/>
      <c r="O28" s="16"/>
    </row>
    <row r="29" ht="22.5" customHeight="1">
      <c r="A29" s="10" t="str">
        <f t="shared" si="1"/>
        <v>10/2025</v>
      </c>
      <c r="B29" s="10">
        <v>45943.80138387732</v>
      </c>
      <c r="C29" s="11" t="s">
        <v>132</v>
      </c>
      <c r="D29" s="11" t="s">
        <v>159</v>
      </c>
      <c r="E29" s="12" t="s">
        <v>160</v>
      </c>
      <c r="F29" s="11" t="s">
        <v>18</v>
      </c>
      <c r="G29" s="11" t="s">
        <v>161</v>
      </c>
      <c r="H29" s="11" t="s">
        <v>44</v>
      </c>
      <c r="I29" s="11" t="s">
        <v>162</v>
      </c>
      <c r="J29" s="11" t="s">
        <v>163</v>
      </c>
      <c r="K29" s="11">
        <v>1.84825082100218E14</v>
      </c>
      <c r="L29" s="14"/>
      <c r="M29" s="15"/>
      <c r="N29" s="16"/>
      <c r="O29" s="16"/>
    </row>
    <row r="30" ht="22.5" customHeight="1">
      <c r="A30" s="10" t="str">
        <f t="shared" si="1"/>
        <v>10/2025</v>
      </c>
      <c r="B30" s="10">
        <v>45944.8062875926</v>
      </c>
      <c r="C30" s="11" t="s">
        <v>32</v>
      </c>
      <c r="D30" s="11" t="s">
        <v>164</v>
      </c>
      <c r="E30" s="12" t="s">
        <v>165</v>
      </c>
      <c r="F30" s="11" t="s">
        <v>18</v>
      </c>
      <c r="G30" s="11" t="s">
        <v>166</v>
      </c>
      <c r="H30" s="11" t="s">
        <v>36</v>
      </c>
      <c r="I30" s="11" t="s">
        <v>167</v>
      </c>
      <c r="J30" s="11" t="s">
        <v>168</v>
      </c>
      <c r="K30" s="11">
        <v>1.19822061300066E14</v>
      </c>
      <c r="L30" s="14"/>
      <c r="M30" s="15"/>
      <c r="N30" s="16"/>
      <c r="O30" s="16"/>
    </row>
    <row r="31" ht="22.5" customHeight="1">
      <c r="A31" s="10" t="str">
        <f t="shared" si="1"/>
        <v>10/2025</v>
      </c>
      <c r="B31" s="10">
        <v>45945.41383467593</v>
      </c>
      <c r="C31" s="11" t="s">
        <v>169</v>
      </c>
      <c r="D31" s="11" t="s">
        <v>170</v>
      </c>
      <c r="E31" s="12" t="s">
        <v>171</v>
      </c>
      <c r="F31" s="11" t="s">
        <v>118</v>
      </c>
      <c r="G31" s="11" t="s">
        <v>172</v>
      </c>
      <c r="H31" s="11" t="s">
        <v>36</v>
      </c>
      <c r="I31" s="11" t="s">
        <v>173</v>
      </c>
      <c r="J31" s="11" t="s">
        <v>174</v>
      </c>
      <c r="K31" s="11">
        <v>1.39824061500046E14</v>
      </c>
      <c r="L31" s="14"/>
      <c r="M31" s="21" t="s">
        <v>175</v>
      </c>
      <c r="N31" s="9"/>
      <c r="O31" s="9"/>
    </row>
    <row r="32" ht="22.5" customHeight="1">
      <c r="A32" s="10" t="str">
        <f t="shared" si="1"/>
        <v>10/2025</v>
      </c>
      <c r="B32" s="10">
        <v>45945.710179236106</v>
      </c>
      <c r="C32" s="11" t="s">
        <v>115</v>
      </c>
      <c r="D32" s="11" t="s">
        <v>176</v>
      </c>
      <c r="E32" s="12" t="s">
        <v>177</v>
      </c>
      <c r="F32" s="11" t="s">
        <v>118</v>
      </c>
      <c r="G32" s="11" t="s">
        <v>178</v>
      </c>
      <c r="H32" s="11" t="s">
        <v>36</v>
      </c>
      <c r="I32" s="11" t="s">
        <v>179</v>
      </c>
      <c r="J32" s="11" t="s">
        <v>180</v>
      </c>
      <c r="K32" s="11" t="s">
        <v>122</v>
      </c>
      <c r="L32" s="14"/>
      <c r="M32" s="15"/>
      <c r="N32" s="16"/>
      <c r="O32" s="16"/>
    </row>
    <row r="33" ht="22.5" customHeight="1">
      <c r="A33" s="10" t="str">
        <f t="shared" si="1"/>
        <v>10/2025</v>
      </c>
      <c r="B33" s="10">
        <v>45945.711414618054</v>
      </c>
      <c r="C33" s="11" t="s">
        <v>115</v>
      </c>
      <c r="D33" s="11" t="s">
        <v>181</v>
      </c>
      <c r="E33" s="11">
        <v>9.06329799E8</v>
      </c>
      <c r="F33" s="11" t="s">
        <v>118</v>
      </c>
      <c r="G33" s="11" t="s">
        <v>182</v>
      </c>
      <c r="H33" s="11" t="s">
        <v>36</v>
      </c>
      <c r="I33" s="11" t="s">
        <v>183</v>
      </c>
      <c r="J33" s="11" t="s">
        <v>180</v>
      </c>
      <c r="K33" s="11" t="s">
        <v>122</v>
      </c>
      <c r="L33" s="14"/>
      <c r="M33" s="15"/>
      <c r="N33" s="16"/>
      <c r="O33" s="16"/>
    </row>
    <row r="34" ht="22.5" customHeight="1">
      <c r="A34" s="10" t="str">
        <f t="shared" si="1"/>
        <v>10/2025</v>
      </c>
      <c r="B34" s="10">
        <v>45945.712783449075</v>
      </c>
      <c r="C34" s="11" t="s">
        <v>115</v>
      </c>
      <c r="D34" s="11" t="s">
        <v>184</v>
      </c>
      <c r="E34" s="11">
        <v>8.4396290008E10</v>
      </c>
      <c r="F34" s="11" t="s">
        <v>118</v>
      </c>
      <c r="G34" s="11" t="s">
        <v>185</v>
      </c>
      <c r="H34" s="11" t="s">
        <v>36</v>
      </c>
      <c r="I34" s="11" t="s">
        <v>186</v>
      </c>
      <c r="J34" s="11" t="s">
        <v>187</v>
      </c>
      <c r="K34" s="11" t="s">
        <v>122</v>
      </c>
      <c r="L34" s="14"/>
      <c r="M34" s="15"/>
      <c r="N34" s="16"/>
      <c r="O34" s="16"/>
    </row>
    <row r="35" ht="22.5" customHeight="1">
      <c r="A35" s="10" t="str">
        <f t="shared" si="1"/>
        <v>10/2025</v>
      </c>
      <c r="B35" s="10">
        <v>45946.62256056713</v>
      </c>
      <c r="C35" s="11" t="s">
        <v>188</v>
      </c>
      <c r="D35" s="11" t="s">
        <v>189</v>
      </c>
      <c r="E35" s="12" t="s">
        <v>190</v>
      </c>
      <c r="F35" s="11" t="s">
        <v>191</v>
      </c>
      <c r="G35" s="11" t="s">
        <v>192</v>
      </c>
      <c r="H35" s="11" t="s">
        <v>36</v>
      </c>
      <c r="I35" s="11" t="s">
        <v>193</v>
      </c>
      <c r="J35" s="11" t="s">
        <v>194</v>
      </c>
      <c r="K35" s="11">
        <v>8.92821042900108E14</v>
      </c>
      <c r="L35" s="14"/>
      <c r="M35" s="21" t="s">
        <v>175</v>
      </c>
      <c r="N35" s="9"/>
      <c r="O35" s="9"/>
    </row>
    <row r="36" ht="22.5" customHeight="1">
      <c r="A36" s="10" t="str">
        <f t="shared" si="1"/>
        <v>10/2025</v>
      </c>
      <c r="B36" s="10">
        <v>45946.71210715278</v>
      </c>
      <c r="C36" s="11" t="s">
        <v>32</v>
      </c>
      <c r="D36" s="11" t="s">
        <v>195</v>
      </c>
      <c r="E36" s="12" t="s">
        <v>196</v>
      </c>
      <c r="F36" s="11" t="s">
        <v>18</v>
      </c>
      <c r="G36" s="11" t="s">
        <v>197</v>
      </c>
      <c r="H36" s="11" t="s">
        <v>36</v>
      </c>
      <c r="I36" s="11" t="s">
        <v>198</v>
      </c>
      <c r="J36" s="11" t="s">
        <v>199</v>
      </c>
      <c r="K36" s="11">
        <v>1.19824062700064E14</v>
      </c>
      <c r="L36" s="14"/>
      <c r="M36" s="15"/>
      <c r="N36" s="16"/>
      <c r="O36" s="16"/>
    </row>
    <row r="37" ht="22.5" customHeight="1">
      <c r="A37" s="10" t="str">
        <f t="shared" si="1"/>
        <v>10/2025</v>
      </c>
      <c r="B37" s="10">
        <v>45947.75090613426</v>
      </c>
      <c r="C37" s="11" t="s">
        <v>115</v>
      </c>
      <c r="D37" s="11" t="s">
        <v>200</v>
      </c>
      <c r="E37" s="12" t="s">
        <v>201</v>
      </c>
      <c r="F37" s="11" t="s">
        <v>118</v>
      </c>
      <c r="G37" s="11" t="s">
        <v>202</v>
      </c>
      <c r="H37" s="11" t="s">
        <v>36</v>
      </c>
      <c r="I37" s="11" t="s">
        <v>203</v>
      </c>
      <c r="J37" s="11" t="s">
        <v>204</v>
      </c>
      <c r="K37" s="11">
        <v>1.19824062700107E14</v>
      </c>
      <c r="L37" s="14"/>
      <c r="M37" s="15"/>
      <c r="N37" s="16"/>
      <c r="O37" s="16"/>
    </row>
    <row r="38" ht="22.5" customHeight="1">
      <c r="A38" s="10" t="str">
        <f t="shared" si="1"/>
        <v>10/2025</v>
      </c>
      <c r="B38" s="10">
        <v>45947.758545578705</v>
      </c>
      <c r="C38" s="11" t="s">
        <v>115</v>
      </c>
      <c r="D38" s="11" t="s">
        <v>205</v>
      </c>
      <c r="E38" s="12" t="s">
        <v>206</v>
      </c>
      <c r="F38" s="11" t="s">
        <v>118</v>
      </c>
      <c r="G38" s="11" t="s">
        <v>207</v>
      </c>
      <c r="H38" s="11" t="s">
        <v>20</v>
      </c>
      <c r="I38" s="11" t="s">
        <v>208</v>
      </c>
      <c r="J38" s="11" t="s">
        <v>209</v>
      </c>
      <c r="K38" s="18">
        <v>1.86825082100178E14</v>
      </c>
      <c r="L38" s="19"/>
      <c r="M38" s="15"/>
      <c r="N38" s="16"/>
      <c r="O38" s="16"/>
    </row>
    <row r="39" ht="22.5" customHeight="1">
      <c r="A39" s="10" t="str">
        <f t="shared" si="1"/>
        <v>10/2025</v>
      </c>
      <c r="B39" s="10">
        <v>45948.511946053244</v>
      </c>
      <c r="C39" s="11" t="s">
        <v>56</v>
      </c>
      <c r="D39" s="11" t="s">
        <v>210</v>
      </c>
      <c r="E39" s="12" t="s">
        <v>211</v>
      </c>
      <c r="F39" s="11" t="s">
        <v>18</v>
      </c>
      <c r="G39" s="11" t="s">
        <v>212</v>
      </c>
      <c r="H39" s="11" t="s">
        <v>36</v>
      </c>
      <c r="I39" s="13" t="s">
        <v>213</v>
      </c>
      <c r="J39" s="11" t="s">
        <v>55</v>
      </c>
      <c r="K39" s="11">
        <v>1.3982206040008E14</v>
      </c>
      <c r="L39" s="14"/>
      <c r="M39" s="15"/>
      <c r="N39" s="16"/>
      <c r="O39" s="16"/>
    </row>
    <row r="40" ht="22.5" customHeight="1">
      <c r="A40" s="10" t="str">
        <f t="shared" si="1"/>
        <v>10/2025</v>
      </c>
      <c r="B40" s="10">
        <v>45948.65948552084</v>
      </c>
      <c r="C40" s="11" t="s">
        <v>214</v>
      </c>
      <c r="D40" s="11" t="s">
        <v>215</v>
      </c>
      <c r="E40" s="12" t="s">
        <v>216</v>
      </c>
      <c r="F40" s="11" t="s">
        <v>18</v>
      </c>
      <c r="G40" s="11" t="s">
        <v>217</v>
      </c>
      <c r="H40" s="11" t="s">
        <v>20</v>
      </c>
      <c r="I40" s="13" t="s">
        <v>218</v>
      </c>
      <c r="J40" s="11" t="s">
        <v>219</v>
      </c>
      <c r="K40" s="11">
        <v>1.85825082200028E14</v>
      </c>
      <c r="L40" s="14"/>
      <c r="M40" s="15"/>
      <c r="N40" s="16"/>
      <c r="O40" s="16"/>
    </row>
    <row r="41" ht="22.5" customHeight="1">
      <c r="A41" s="10" t="str">
        <f t="shared" si="1"/>
        <v>10/2025</v>
      </c>
      <c r="B41" s="10">
        <v>45949.54004090278</v>
      </c>
      <c r="C41" s="11" t="s">
        <v>56</v>
      </c>
      <c r="D41" s="11" t="s">
        <v>220</v>
      </c>
      <c r="E41" s="12" t="s">
        <v>221</v>
      </c>
      <c r="F41" s="11" t="s">
        <v>18</v>
      </c>
      <c r="G41" s="11" t="s">
        <v>222</v>
      </c>
      <c r="H41" s="11" t="s">
        <v>36</v>
      </c>
      <c r="I41" s="11" t="s">
        <v>223</v>
      </c>
      <c r="J41" s="11" t="s">
        <v>55</v>
      </c>
      <c r="K41" s="11">
        <v>1.3982206040012E14</v>
      </c>
      <c r="L41" s="14"/>
      <c r="M41" s="15"/>
      <c r="N41" s="16"/>
      <c r="O41" s="16"/>
    </row>
    <row r="42" ht="22.5" customHeight="1">
      <c r="A42" s="10" t="str">
        <f t="shared" si="1"/>
        <v>10/2025</v>
      </c>
      <c r="B42" s="10">
        <v>45949.5427880787</v>
      </c>
      <c r="C42" s="11" t="s">
        <v>56</v>
      </c>
      <c r="D42" s="11" t="s">
        <v>224</v>
      </c>
      <c r="E42" s="11">
        <v>9.3843747E8</v>
      </c>
      <c r="F42" s="11" t="s">
        <v>18</v>
      </c>
      <c r="G42" s="11">
        <v>3626.0</v>
      </c>
      <c r="H42" s="11" t="s">
        <v>20</v>
      </c>
      <c r="I42" s="11" t="s">
        <v>225</v>
      </c>
      <c r="J42" s="11" t="s">
        <v>55</v>
      </c>
      <c r="K42" s="11">
        <v>1.86825082100157E14</v>
      </c>
      <c r="L42" s="14"/>
      <c r="M42" s="15"/>
      <c r="N42" s="16"/>
      <c r="O42" s="16"/>
    </row>
    <row r="43" ht="22.5" customHeight="1">
      <c r="A43" s="10" t="str">
        <f t="shared" si="1"/>
        <v>10/2025</v>
      </c>
      <c r="B43" s="10">
        <v>45949.600644398146</v>
      </c>
      <c r="C43" s="11" t="s">
        <v>226</v>
      </c>
      <c r="D43" s="11" t="s">
        <v>227</v>
      </c>
      <c r="E43" s="11" t="s">
        <v>228</v>
      </c>
      <c r="F43" s="11" t="s">
        <v>18</v>
      </c>
      <c r="G43" s="11" t="s">
        <v>229</v>
      </c>
      <c r="H43" s="11" t="s">
        <v>36</v>
      </c>
      <c r="I43" s="11" t="s">
        <v>230</v>
      </c>
      <c r="J43" s="11" t="s">
        <v>55</v>
      </c>
      <c r="K43" s="11">
        <v>1.19821080500403E14</v>
      </c>
      <c r="L43" s="14"/>
      <c r="M43" s="15"/>
      <c r="N43" s="16"/>
      <c r="O43" s="16"/>
    </row>
    <row r="44" ht="22.5" customHeight="1">
      <c r="A44" s="10" t="str">
        <f t="shared" si="1"/>
        <v>10/2025</v>
      </c>
      <c r="B44" s="10">
        <v>45949.83514023148</v>
      </c>
      <c r="C44" s="11" t="s">
        <v>115</v>
      </c>
      <c r="D44" s="11" t="s">
        <v>231</v>
      </c>
      <c r="E44" s="11" t="s">
        <v>232</v>
      </c>
      <c r="F44" s="11" t="s">
        <v>118</v>
      </c>
      <c r="G44" s="11" t="s">
        <v>207</v>
      </c>
      <c r="H44" s="11" t="s">
        <v>20</v>
      </c>
      <c r="I44" s="13" t="s">
        <v>233</v>
      </c>
      <c r="J44" s="11" t="s">
        <v>234</v>
      </c>
      <c r="K44" s="11">
        <v>1.86825082100159E14</v>
      </c>
      <c r="L44" s="14"/>
      <c r="M44" s="15"/>
      <c r="N44" s="16"/>
      <c r="O44" s="16"/>
    </row>
    <row r="45" ht="22.5" customHeight="1">
      <c r="A45" s="10" t="str">
        <f t="shared" si="1"/>
        <v>10/2025</v>
      </c>
      <c r="B45" s="10">
        <v>45950.49215363426</v>
      </c>
      <c r="C45" s="11" t="s">
        <v>123</v>
      </c>
      <c r="D45" s="11"/>
      <c r="E45" s="11" t="s">
        <v>235</v>
      </c>
      <c r="F45" s="11" t="s">
        <v>18</v>
      </c>
      <c r="G45" s="11" t="s">
        <v>236</v>
      </c>
      <c r="H45" s="11" t="s">
        <v>20</v>
      </c>
      <c r="I45" s="13" t="s">
        <v>237</v>
      </c>
      <c r="J45" s="11" t="s">
        <v>238</v>
      </c>
      <c r="K45" s="11">
        <v>1.86825082100179E14</v>
      </c>
      <c r="L45" s="14"/>
      <c r="M45" s="15"/>
      <c r="N45" s="16"/>
      <c r="O45" s="16"/>
    </row>
    <row r="46" ht="22.5" customHeight="1">
      <c r="A46" s="10" t="str">
        <f t="shared" si="1"/>
        <v>10/2025</v>
      </c>
      <c r="B46" s="10">
        <v>45950.57652731481</v>
      </c>
      <c r="C46" s="11" t="s">
        <v>239</v>
      </c>
      <c r="D46" s="11" t="s">
        <v>240</v>
      </c>
      <c r="E46" s="12" t="s">
        <v>241</v>
      </c>
      <c r="F46" s="11" t="s">
        <v>242</v>
      </c>
      <c r="G46" s="11" t="s">
        <v>243</v>
      </c>
      <c r="H46" s="11" t="s">
        <v>36</v>
      </c>
      <c r="I46" s="11" t="s">
        <v>244</v>
      </c>
      <c r="J46" s="11" t="s">
        <v>245</v>
      </c>
      <c r="K46" s="11">
        <v>1.19823112300001E14</v>
      </c>
      <c r="L46" s="14"/>
      <c r="M46" s="15"/>
      <c r="N46" s="16"/>
      <c r="O46" s="16"/>
    </row>
    <row r="47" ht="22.5" customHeight="1">
      <c r="A47" s="10" t="str">
        <f t="shared" si="1"/>
        <v>10/2025</v>
      </c>
      <c r="B47" s="10">
        <v>45950.72420387731</v>
      </c>
      <c r="C47" s="11" t="s">
        <v>246</v>
      </c>
      <c r="D47" s="11" t="s">
        <v>247</v>
      </c>
      <c r="E47" s="12" t="s">
        <v>248</v>
      </c>
      <c r="F47" s="11" t="s">
        <v>249</v>
      </c>
      <c r="G47" s="11" t="s">
        <v>250</v>
      </c>
      <c r="H47" s="11" t="s">
        <v>44</v>
      </c>
      <c r="I47" s="11" t="s">
        <v>251</v>
      </c>
      <c r="J47" s="11" t="s">
        <v>252</v>
      </c>
      <c r="K47" s="11">
        <v>1.83825082100137E14</v>
      </c>
      <c r="L47" s="14"/>
      <c r="M47" s="15"/>
      <c r="N47" s="16"/>
      <c r="O47" s="16"/>
    </row>
    <row r="48" ht="22.5" customHeight="1">
      <c r="A48" s="10" t="str">
        <f t="shared" si="1"/>
        <v>10/2025</v>
      </c>
      <c r="B48" s="10">
        <v>45950.72891196759</v>
      </c>
      <c r="C48" s="11" t="s">
        <v>253</v>
      </c>
      <c r="D48" s="11" t="s">
        <v>254</v>
      </c>
      <c r="E48" s="12" t="s">
        <v>255</v>
      </c>
      <c r="F48" s="11" t="s">
        <v>18</v>
      </c>
      <c r="G48" s="11">
        <v>3626.0</v>
      </c>
      <c r="H48" s="11" t="s">
        <v>20</v>
      </c>
      <c r="I48" s="11" t="s">
        <v>256</v>
      </c>
      <c r="J48" s="11" t="s">
        <v>257</v>
      </c>
      <c r="K48" s="18">
        <v>1.86825082100128E14</v>
      </c>
      <c r="L48" s="19"/>
      <c r="M48" s="15"/>
      <c r="N48" s="16"/>
      <c r="O48" s="16"/>
    </row>
    <row r="49" ht="22.5" customHeight="1">
      <c r="A49" s="10" t="str">
        <f t="shared" si="1"/>
        <v>10/2025</v>
      </c>
      <c r="B49" s="10">
        <v>45950.74454925926</v>
      </c>
      <c r="C49" s="11" t="s">
        <v>56</v>
      </c>
      <c r="D49" s="11" t="s">
        <v>210</v>
      </c>
      <c r="E49" s="12" t="s">
        <v>258</v>
      </c>
      <c r="F49" s="11" t="s">
        <v>18</v>
      </c>
      <c r="G49" s="11" t="s">
        <v>259</v>
      </c>
      <c r="H49" s="11" t="s">
        <v>36</v>
      </c>
      <c r="I49" s="11" t="s">
        <v>260</v>
      </c>
      <c r="J49" s="11" t="s">
        <v>261</v>
      </c>
      <c r="K49" s="11">
        <v>1.39824061500369E14</v>
      </c>
      <c r="L49" s="14"/>
      <c r="M49" s="15"/>
      <c r="N49" s="16"/>
      <c r="O49" s="16"/>
    </row>
    <row r="50" ht="22.5" customHeight="1">
      <c r="A50" s="10" t="str">
        <f t="shared" si="1"/>
        <v>10/2025</v>
      </c>
      <c r="B50" s="10">
        <v>45950.74752392361</v>
      </c>
      <c r="C50" s="11" t="s">
        <v>56</v>
      </c>
      <c r="D50" s="11" t="s">
        <v>262</v>
      </c>
      <c r="E50" s="12" t="s">
        <v>263</v>
      </c>
      <c r="F50" s="11" t="s">
        <v>18</v>
      </c>
      <c r="G50" s="11" t="s">
        <v>259</v>
      </c>
      <c r="H50" s="11" t="s">
        <v>36</v>
      </c>
      <c r="I50" s="11" t="s">
        <v>264</v>
      </c>
      <c r="J50" s="11" t="s">
        <v>261</v>
      </c>
      <c r="K50" s="11">
        <v>1.39823072500224E14</v>
      </c>
      <c r="L50" s="14"/>
      <c r="M50" s="15"/>
      <c r="N50" s="16"/>
      <c r="O50" s="16"/>
    </row>
    <row r="51" ht="22.5" customHeight="1">
      <c r="A51" s="10" t="str">
        <f t="shared" si="1"/>
        <v>10/2025</v>
      </c>
      <c r="B51" s="10">
        <v>45951.65936472222</v>
      </c>
      <c r="C51" s="11" t="s">
        <v>32</v>
      </c>
      <c r="D51" s="11" t="s">
        <v>265</v>
      </c>
      <c r="E51" s="12" t="s">
        <v>266</v>
      </c>
      <c r="F51" s="11" t="s">
        <v>18</v>
      </c>
      <c r="G51" s="11">
        <v>3626.0</v>
      </c>
      <c r="H51" s="11" t="s">
        <v>20</v>
      </c>
      <c r="I51" s="13" t="s">
        <v>267</v>
      </c>
      <c r="J51" s="11" t="s">
        <v>97</v>
      </c>
      <c r="K51" s="18">
        <v>1.86825082100167E14</v>
      </c>
      <c r="L51" s="19"/>
      <c r="M51" s="15"/>
      <c r="N51" s="16"/>
      <c r="O51" s="16"/>
    </row>
    <row r="52" ht="22.5" customHeight="1">
      <c r="A52" s="10" t="str">
        <f t="shared" si="1"/>
        <v>10/2025</v>
      </c>
      <c r="B52" s="10">
        <v>45951.66176287037</v>
      </c>
      <c r="C52" s="11" t="s">
        <v>32</v>
      </c>
      <c r="D52" s="11" t="s">
        <v>268</v>
      </c>
      <c r="E52" s="12" t="s">
        <v>269</v>
      </c>
      <c r="F52" s="11" t="s">
        <v>18</v>
      </c>
      <c r="G52" s="11" t="s">
        <v>270</v>
      </c>
      <c r="H52" s="11" t="s">
        <v>36</v>
      </c>
      <c r="I52" s="13" t="s">
        <v>271</v>
      </c>
      <c r="J52" s="11" t="s">
        <v>272</v>
      </c>
      <c r="K52" s="11">
        <v>8.92821080500429E14</v>
      </c>
      <c r="L52" s="14"/>
      <c r="M52" s="15"/>
      <c r="N52" s="16"/>
      <c r="O52" s="16"/>
    </row>
    <row r="53" ht="22.5" customHeight="1">
      <c r="A53" s="10" t="str">
        <f t="shared" si="1"/>
        <v>10/2025</v>
      </c>
      <c r="B53" s="10">
        <v>45952.44392395833</v>
      </c>
      <c r="C53" s="11" t="s">
        <v>103</v>
      </c>
      <c r="D53" s="11" t="s">
        <v>273</v>
      </c>
      <c r="E53" s="11">
        <v>9.09733392E8</v>
      </c>
      <c r="F53" s="11" t="s">
        <v>106</v>
      </c>
      <c r="G53" s="11" t="s">
        <v>274</v>
      </c>
      <c r="H53" s="11" t="s">
        <v>20</v>
      </c>
      <c r="I53" s="11" t="s">
        <v>275</v>
      </c>
      <c r="J53" s="11" t="s">
        <v>276</v>
      </c>
      <c r="K53" s="18">
        <v>1.83825082100107E14</v>
      </c>
      <c r="L53" s="19"/>
      <c r="M53" s="15"/>
      <c r="N53" s="16"/>
      <c r="O53" s="16"/>
    </row>
    <row r="54" ht="22.5" customHeight="1">
      <c r="A54" s="10" t="str">
        <f t="shared" si="1"/>
        <v>10/2025</v>
      </c>
      <c r="B54" s="10">
        <v>45952.59233505787</v>
      </c>
      <c r="C54" s="11" t="s">
        <v>115</v>
      </c>
      <c r="D54" s="11" t="s">
        <v>277</v>
      </c>
      <c r="E54" s="11" t="s">
        <v>278</v>
      </c>
      <c r="F54" s="11" t="s">
        <v>118</v>
      </c>
      <c r="G54" s="11" t="s">
        <v>279</v>
      </c>
      <c r="H54" s="11" t="s">
        <v>36</v>
      </c>
      <c r="I54" s="11" t="s">
        <v>280</v>
      </c>
      <c r="J54" s="11" t="s">
        <v>281</v>
      </c>
      <c r="K54" s="11" t="s">
        <v>122</v>
      </c>
      <c r="L54" s="14"/>
      <c r="M54" s="15"/>
      <c r="N54" s="16"/>
      <c r="O54" s="16"/>
    </row>
    <row r="55" ht="22.5" customHeight="1">
      <c r="A55" s="10" t="str">
        <f t="shared" si="1"/>
        <v>10/2025</v>
      </c>
      <c r="B55" s="10">
        <v>45952.59404435185</v>
      </c>
      <c r="C55" s="11" t="s">
        <v>115</v>
      </c>
      <c r="D55" s="11" t="s">
        <v>282</v>
      </c>
      <c r="E55" s="12" t="s">
        <v>283</v>
      </c>
      <c r="F55" s="11" t="s">
        <v>118</v>
      </c>
      <c r="G55" s="11" t="s">
        <v>178</v>
      </c>
      <c r="H55" s="11" t="s">
        <v>36</v>
      </c>
      <c r="I55" s="11" t="s">
        <v>284</v>
      </c>
      <c r="J55" s="11" t="s">
        <v>285</v>
      </c>
      <c r="K55" s="11" t="s">
        <v>286</v>
      </c>
      <c r="L55" s="14"/>
      <c r="M55" s="15"/>
      <c r="N55" s="16"/>
      <c r="O55" s="16"/>
    </row>
    <row r="56" ht="22.5" customHeight="1">
      <c r="A56" s="10" t="str">
        <f t="shared" si="1"/>
        <v>10/2025</v>
      </c>
      <c r="B56" s="10">
        <v>45952.77763282407</v>
      </c>
      <c r="C56" s="11" t="s">
        <v>287</v>
      </c>
      <c r="D56" s="11" t="s">
        <v>288</v>
      </c>
      <c r="E56" s="12" t="s">
        <v>289</v>
      </c>
      <c r="F56" s="11" t="s">
        <v>290</v>
      </c>
      <c r="G56" s="11" t="s">
        <v>291</v>
      </c>
      <c r="H56" s="11" t="s">
        <v>20</v>
      </c>
      <c r="I56" s="11" t="s">
        <v>292</v>
      </c>
      <c r="J56" s="11" t="s">
        <v>293</v>
      </c>
      <c r="K56" s="18">
        <v>1.85825082200005E14</v>
      </c>
      <c r="L56" s="19"/>
      <c r="M56" s="15"/>
      <c r="N56" s="16"/>
      <c r="O56" s="16"/>
    </row>
    <row r="57" ht="22.5" customHeight="1">
      <c r="A57" s="10" t="str">
        <f t="shared" si="1"/>
        <v>10/2025</v>
      </c>
      <c r="B57" s="10">
        <v>45954.48242799769</v>
      </c>
      <c r="C57" s="11" t="s">
        <v>294</v>
      </c>
      <c r="D57" s="11" t="s">
        <v>295</v>
      </c>
      <c r="E57" s="12" t="s">
        <v>296</v>
      </c>
      <c r="F57" s="11" t="s">
        <v>297</v>
      </c>
      <c r="G57" s="11" t="s">
        <v>129</v>
      </c>
      <c r="H57" s="11" t="s">
        <v>20</v>
      </c>
      <c r="I57" s="11" t="s">
        <v>298</v>
      </c>
      <c r="J57" s="11" t="s">
        <v>299</v>
      </c>
      <c r="K57" s="18">
        <v>1.83825082100141E14</v>
      </c>
      <c r="L57" s="19"/>
      <c r="M57" s="15"/>
      <c r="N57" s="16"/>
      <c r="O57" s="16"/>
    </row>
    <row r="58" ht="22.5" customHeight="1">
      <c r="A58" s="10" t="str">
        <f t="shared" si="1"/>
        <v>10/2025</v>
      </c>
      <c r="B58" s="10">
        <v>45954.62367885417</v>
      </c>
      <c r="C58" s="11" t="s">
        <v>300</v>
      </c>
      <c r="D58" s="11" t="s">
        <v>301</v>
      </c>
      <c r="E58" s="12" t="s">
        <v>302</v>
      </c>
      <c r="F58" s="11" t="s">
        <v>303</v>
      </c>
      <c r="G58" s="11" t="s">
        <v>304</v>
      </c>
      <c r="H58" s="11" t="s">
        <v>305</v>
      </c>
      <c r="I58" s="11" t="s">
        <v>306</v>
      </c>
      <c r="J58" s="11" t="s">
        <v>307</v>
      </c>
      <c r="K58" s="11">
        <v>1.85825082200122E14</v>
      </c>
      <c r="L58" s="14"/>
      <c r="M58" s="15"/>
      <c r="N58" s="16"/>
      <c r="O58" s="16"/>
    </row>
    <row r="59" ht="22.5" customHeight="1">
      <c r="A59" s="10" t="str">
        <f t="shared" si="1"/>
        <v>10/2025</v>
      </c>
      <c r="B59" s="10">
        <v>45955.367814537036</v>
      </c>
      <c r="C59" s="11" t="s">
        <v>308</v>
      </c>
      <c r="D59" s="11" t="s">
        <v>309</v>
      </c>
      <c r="E59" s="11" t="s">
        <v>310</v>
      </c>
      <c r="F59" s="11" t="s">
        <v>106</v>
      </c>
      <c r="G59" s="11" t="s">
        <v>311</v>
      </c>
      <c r="H59" s="11" t="s">
        <v>36</v>
      </c>
      <c r="I59" s="17" t="s">
        <v>312</v>
      </c>
      <c r="J59" s="11" t="s">
        <v>313</v>
      </c>
      <c r="K59" s="11">
        <v>8.92821080500461E14</v>
      </c>
      <c r="L59" s="14"/>
      <c r="M59" s="21" t="s">
        <v>314</v>
      </c>
      <c r="N59" s="9"/>
      <c r="O59" s="9"/>
    </row>
    <row r="60" ht="22.5" customHeight="1">
      <c r="A60" s="10" t="str">
        <f t="shared" si="1"/>
        <v>10/2025</v>
      </c>
      <c r="B60" s="10">
        <v>45956.365128668986</v>
      </c>
      <c r="C60" s="11" t="s">
        <v>115</v>
      </c>
      <c r="D60" s="11" t="s">
        <v>315</v>
      </c>
      <c r="E60" s="11" t="s">
        <v>316</v>
      </c>
      <c r="F60" s="11" t="s">
        <v>118</v>
      </c>
      <c r="G60" s="11" t="s">
        <v>317</v>
      </c>
      <c r="H60" s="11" t="s">
        <v>20</v>
      </c>
      <c r="I60" s="11" t="s">
        <v>318</v>
      </c>
      <c r="J60" s="11" t="s">
        <v>319</v>
      </c>
      <c r="K60" s="11">
        <v>1.80825082200146E14</v>
      </c>
      <c r="L60" s="14"/>
      <c r="M60" s="15"/>
      <c r="N60" s="16"/>
      <c r="O60" s="16"/>
    </row>
    <row r="61" ht="22.5" customHeight="1">
      <c r="A61" s="10" t="str">
        <f t="shared" si="1"/>
        <v>10/2025</v>
      </c>
      <c r="B61" s="10">
        <v>45956.412859432865</v>
      </c>
      <c r="C61" s="11" t="s">
        <v>320</v>
      </c>
      <c r="D61" s="11" t="s">
        <v>321</v>
      </c>
      <c r="E61" s="12" t="s">
        <v>322</v>
      </c>
      <c r="F61" s="11" t="s">
        <v>118</v>
      </c>
      <c r="G61" s="11" t="s">
        <v>323</v>
      </c>
      <c r="H61" s="11" t="s">
        <v>20</v>
      </c>
      <c r="I61" s="11" t="s">
        <v>324</v>
      </c>
      <c r="J61" s="11" t="s">
        <v>325</v>
      </c>
      <c r="K61" s="18">
        <v>1.83825082100098E14</v>
      </c>
      <c r="L61" s="19"/>
      <c r="M61" s="21" t="s">
        <v>326</v>
      </c>
      <c r="N61" s="9"/>
      <c r="O61" s="9"/>
    </row>
    <row r="62" ht="22.5" customHeight="1">
      <c r="A62" s="10" t="str">
        <f t="shared" si="1"/>
        <v>10/2025</v>
      </c>
      <c r="B62" s="10">
        <v>45956.478519641205</v>
      </c>
      <c r="C62" s="11" t="s">
        <v>253</v>
      </c>
      <c r="D62" s="11" t="s">
        <v>327</v>
      </c>
      <c r="E62" s="12" t="s">
        <v>328</v>
      </c>
      <c r="F62" s="11" t="s">
        <v>18</v>
      </c>
      <c r="G62" s="11" t="s">
        <v>329</v>
      </c>
      <c r="H62" s="11" t="s">
        <v>20</v>
      </c>
      <c r="I62" s="11" t="s">
        <v>330</v>
      </c>
      <c r="J62" s="11" t="s">
        <v>331</v>
      </c>
      <c r="K62" s="18">
        <v>1.83825082100133E14</v>
      </c>
      <c r="L62" s="19"/>
      <c r="M62" s="15"/>
      <c r="N62" s="16"/>
      <c r="O62" s="16"/>
    </row>
    <row r="63" ht="22.5" customHeight="1">
      <c r="A63" s="10" t="str">
        <f t="shared" si="1"/>
        <v>10/2025</v>
      </c>
      <c r="B63" s="10">
        <v>45956.50855618056</v>
      </c>
      <c r="C63" s="11" t="s">
        <v>123</v>
      </c>
      <c r="D63" s="11" t="s">
        <v>332</v>
      </c>
      <c r="E63" s="12" t="s">
        <v>333</v>
      </c>
      <c r="F63" s="11" t="s">
        <v>18</v>
      </c>
      <c r="G63" s="11" t="s">
        <v>334</v>
      </c>
      <c r="H63" s="11" t="s">
        <v>20</v>
      </c>
      <c r="I63" s="11" t="s">
        <v>335</v>
      </c>
      <c r="J63" s="11" t="s">
        <v>238</v>
      </c>
      <c r="K63" s="11">
        <v>1.85825082200104E14</v>
      </c>
      <c r="L63" s="14"/>
      <c r="M63" s="15"/>
      <c r="N63" s="16"/>
      <c r="O63" s="16"/>
    </row>
    <row r="64" ht="22.5" customHeight="1">
      <c r="A64" s="10" t="str">
        <f t="shared" si="1"/>
        <v>10/2025</v>
      </c>
      <c r="B64" s="10">
        <v>45956.76808728009</v>
      </c>
      <c r="C64" s="11" t="s">
        <v>336</v>
      </c>
      <c r="D64" s="11" t="s">
        <v>337</v>
      </c>
      <c r="E64" s="12" t="s">
        <v>338</v>
      </c>
      <c r="F64" s="11" t="s">
        <v>18</v>
      </c>
      <c r="G64" s="11" t="s">
        <v>339</v>
      </c>
      <c r="H64" s="11" t="s">
        <v>20</v>
      </c>
      <c r="I64" s="11" t="s">
        <v>340</v>
      </c>
      <c r="J64" s="11" t="s">
        <v>341</v>
      </c>
      <c r="K64" s="18">
        <v>1.86825082100058E14</v>
      </c>
      <c r="L64" s="19"/>
      <c r="M64" s="15"/>
      <c r="N64" s="16"/>
      <c r="O64" s="16"/>
    </row>
    <row r="65" ht="22.5" customHeight="1">
      <c r="A65" s="10" t="str">
        <f t="shared" si="1"/>
        <v>10/2025</v>
      </c>
      <c r="B65" s="10">
        <v>45959.47375635417</v>
      </c>
      <c r="C65" s="11" t="s">
        <v>294</v>
      </c>
      <c r="D65" s="11" t="s">
        <v>342</v>
      </c>
      <c r="E65" s="12" t="s">
        <v>296</v>
      </c>
      <c r="F65" s="11" t="s">
        <v>297</v>
      </c>
      <c r="G65" s="11" t="s">
        <v>343</v>
      </c>
      <c r="H65" s="11" t="s">
        <v>20</v>
      </c>
      <c r="I65" s="11" t="s">
        <v>344</v>
      </c>
      <c r="J65" s="11" t="s">
        <v>313</v>
      </c>
      <c r="K65" s="18">
        <v>1.83825082100148E14</v>
      </c>
      <c r="L65" s="19"/>
      <c r="M65" s="15"/>
      <c r="N65" s="16"/>
      <c r="O65" s="16"/>
    </row>
    <row r="66" ht="22.5" customHeight="1">
      <c r="A66" s="10" t="str">
        <f t="shared" si="1"/>
        <v>10/2025</v>
      </c>
      <c r="B66" s="10">
        <v>45959.5347206713</v>
      </c>
      <c r="C66" s="11" t="s">
        <v>103</v>
      </c>
      <c r="D66" s="11" t="s">
        <v>345</v>
      </c>
      <c r="E66" s="12" t="s">
        <v>346</v>
      </c>
      <c r="F66" s="11" t="s">
        <v>18</v>
      </c>
      <c r="G66" s="11" t="s">
        <v>347</v>
      </c>
      <c r="H66" s="11" t="s">
        <v>348</v>
      </c>
      <c r="I66" s="11" t="s">
        <v>349</v>
      </c>
      <c r="J66" s="11" t="s">
        <v>350</v>
      </c>
      <c r="K66" s="11">
        <v>8.92821012300297E14</v>
      </c>
      <c r="L66" s="14"/>
      <c r="M66" s="21" t="s">
        <v>351</v>
      </c>
      <c r="N66" s="9"/>
      <c r="O66" s="9"/>
    </row>
    <row r="67" ht="22.5" customHeight="1">
      <c r="A67" s="10" t="str">
        <f t="shared" si="1"/>
        <v>10/2025</v>
      </c>
      <c r="B67" s="10">
        <v>45959.77209474537</v>
      </c>
      <c r="C67" s="11" t="s">
        <v>115</v>
      </c>
      <c r="D67" s="11" t="s">
        <v>352</v>
      </c>
      <c r="E67" s="11" t="s">
        <v>353</v>
      </c>
      <c r="F67" s="11" t="s">
        <v>118</v>
      </c>
      <c r="G67" s="11" t="s">
        <v>354</v>
      </c>
      <c r="H67" s="11" t="s">
        <v>36</v>
      </c>
      <c r="I67" s="11" t="s">
        <v>355</v>
      </c>
      <c r="J67" s="11" t="s">
        <v>356</v>
      </c>
      <c r="K67" s="11" t="s">
        <v>122</v>
      </c>
      <c r="L67" s="14"/>
      <c r="M67" s="15"/>
      <c r="N67" s="16"/>
      <c r="O67" s="16"/>
    </row>
    <row r="68" ht="22.5" customHeight="1">
      <c r="A68" s="10" t="str">
        <f t="shared" si="1"/>
        <v>10/2025</v>
      </c>
      <c r="B68" s="10">
        <v>45959.9232127662</v>
      </c>
      <c r="C68" s="11" t="s">
        <v>132</v>
      </c>
      <c r="D68" s="11" t="s">
        <v>357</v>
      </c>
      <c r="E68" s="12" t="s">
        <v>358</v>
      </c>
      <c r="F68" s="11" t="s">
        <v>18</v>
      </c>
      <c r="G68" s="11" t="s">
        <v>359</v>
      </c>
      <c r="H68" s="11" t="s">
        <v>36</v>
      </c>
      <c r="I68" s="11" t="s">
        <v>360</v>
      </c>
      <c r="J68" s="11" t="s">
        <v>361</v>
      </c>
      <c r="K68" s="11">
        <v>1.19822061300134E14</v>
      </c>
      <c r="L68" s="14"/>
      <c r="M68" s="15"/>
      <c r="N68" s="16"/>
      <c r="O68" s="16"/>
    </row>
    <row r="69" ht="22.5" customHeight="1">
      <c r="A69" s="10" t="str">
        <f t="shared" si="1"/>
        <v>10/2025</v>
      </c>
      <c r="B69" s="10">
        <v>45961.39710417824</v>
      </c>
      <c r="C69" s="11" t="s">
        <v>226</v>
      </c>
      <c r="D69" s="11" t="s">
        <v>362</v>
      </c>
      <c r="E69" s="11" t="s">
        <v>363</v>
      </c>
      <c r="F69" s="11" t="s">
        <v>18</v>
      </c>
      <c r="G69" s="11" t="s">
        <v>364</v>
      </c>
      <c r="H69" s="11" t="s">
        <v>36</v>
      </c>
      <c r="I69" s="11" t="s">
        <v>365</v>
      </c>
      <c r="J69" s="11" t="s">
        <v>366</v>
      </c>
      <c r="K69" s="11">
        <v>8.928210420586E12</v>
      </c>
      <c r="L69" s="14"/>
      <c r="M69" s="15"/>
      <c r="N69" s="16"/>
      <c r="O69" s="16"/>
    </row>
    <row r="70" ht="22.5" customHeight="1">
      <c r="A70" s="10" t="str">
        <f t="shared" si="1"/>
        <v>10/2025</v>
      </c>
      <c r="B70" s="10">
        <v>45961.39973628472</v>
      </c>
      <c r="C70" s="11" t="s">
        <v>32</v>
      </c>
      <c r="D70" s="11" t="s">
        <v>367</v>
      </c>
      <c r="E70" s="11" t="s">
        <v>368</v>
      </c>
      <c r="F70" s="11" t="s">
        <v>18</v>
      </c>
      <c r="G70" s="11" t="s">
        <v>59</v>
      </c>
      <c r="H70" s="11" t="s">
        <v>20</v>
      </c>
      <c r="I70" s="11" t="s">
        <v>369</v>
      </c>
      <c r="J70" s="11" t="s">
        <v>370</v>
      </c>
      <c r="K70" s="18">
        <v>1.84825082100224E14</v>
      </c>
      <c r="L70" s="19"/>
      <c r="M70" s="15"/>
      <c r="N70" s="16"/>
      <c r="O70" s="16"/>
    </row>
    <row r="71" ht="22.5" customHeight="1">
      <c r="A71" s="10" t="str">
        <f t="shared" si="1"/>
        <v>10/2025</v>
      </c>
      <c r="B71" s="10">
        <v>45961.7822303588</v>
      </c>
      <c r="C71" s="11" t="s">
        <v>56</v>
      </c>
      <c r="D71" s="11" t="s">
        <v>371</v>
      </c>
      <c r="E71" s="12" t="s">
        <v>372</v>
      </c>
      <c r="F71" s="11" t="s">
        <v>18</v>
      </c>
      <c r="G71" s="11" t="s">
        <v>373</v>
      </c>
      <c r="H71" s="11" t="s">
        <v>36</v>
      </c>
      <c r="I71" s="13" t="s">
        <v>374</v>
      </c>
      <c r="J71" s="11" t="s">
        <v>199</v>
      </c>
      <c r="K71" s="11">
        <v>8.92820072100286E14</v>
      </c>
      <c r="L71" s="14"/>
      <c r="M71" s="15"/>
      <c r="N71" s="16"/>
      <c r="O71" s="16"/>
    </row>
    <row r="72" ht="22.5" customHeight="1">
      <c r="A72" s="10" t="str">
        <f t="shared" si="1"/>
        <v>11/2025</v>
      </c>
      <c r="B72" s="10">
        <v>45963.43235888889</v>
      </c>
      <c r="C72" s="11" t="s">
        <v>103</v>
      </c>
      <c r="D72" s="11" t="s">
        <v>375</v>
      </c>
      <c r="E72" s="12" t="s">
        <v>376</v>
      </c>
      <c r="F72" s="11" t="s">
        <v>106</v>
      </c>
      <c r="G72" s="11" t="s">
        <v>377</v>
      </c>
      <c r="H72" s="11" t="s">
        <v>36</v>
      </c>
      <c r="I72" s="11" t="s">
        <v>378</v>
      </c>
      <c r="J72" s="11" t="s">
        <v>379</v>
      </c>
      <c r="K72" s="11">
        <v>8.92821042900202E14</v>
      </c>
      <c r="L72" s="14"/>
      <c r="M72" s="21" t="s">
        <v>380</v>
      </c>
      <c r="N72" s="9"/>
      <c r="O72" s="9"/>
    </row>
    <row r="73" ht="22.5" customHeight="1">
      <c r="A73" s="10" t="str">
        <f t="shared" si="1"/>
        <v>11/2025</v>
      </c>
      <c r="B73" s="10">
        <v>45963.49847755787</v>
      </c>
      <c r="C73" s="11" t="s">
        <v>308</v>
      </c>
      <c r="D73" s="11" t="s">
        <v>381</v>
      </c>
      <c r="E73" s="12" t="s">
        <v>382</v>
      </c>
      <c r="F73" s="11" t="s">
        <v>106</v>
      </c>
      <c r="G73" s="11" t="s">
        <v>383</v>
      </c>
      <c r="H73" s="11" t="s">
        <v>36</v>
      </c>
      <c r="I73" s="11" t="s">
        <v>384</v>
      </c>
      <c r="J73" s="11" t="s">
        <v>385</v>
      </c>
      <c r="K73" s="11">
        <v>1.19821040600556E14</v>
      </c>
      <c r="L73" s="14"/>
      <c r="M73" s="21" t="s">
        <v>380</v>
      </c>
      <c r="N73" s="9"/>
      <c r="O73" s="9"/>
    </row>
    <row r="74" ht="22.5" customHeight="1">
      <c r="A74" s="10" t="str">
        <f t="shared" si="1"/>
        <v>11/2025</v>
      </c>
      <c r="B74" s="10">
        <v>45963.575347418984</v>
      </c>
      <c r="C74" s="11" t="s">
        <v>386</v>
      </c>
      <c r="D74" s="11" t="s">
        <v>387</v>
      </c>
      <c r="E74" s="12" t="s">
        <v>388</v>
      </c>
      <c r="F74" s="11" t="s">
        <v>18</v>
      </c>
      <c r="G74" s="11" t="s">
        <v>389</v>
      </c>
      <c r="H74" s="11" t="s">
        <v>36</v>
      </c>
      <c r="I74" s="11" t="s">
        <v>390</v>
      </c>
      <c r="J74" s="11" t="s">
        <v>391</v>
      </c>
      <c r="K74" s="11">
        <v>1.3982409270051E14</v>
      </c>
      <c r="L74" s="14"/>
      <c r="M74" s="15"/>
      <c r="N74" s="16"/>
      <c r="O74" s="16"/>
    </row>
    <row r="75" ht="22.5" customHeight="1">
      <c r="A75" s="10" t="str">
        <f t="shared" si="1"/>
        <v>11/2025</v>
      </c>
      <c r="B75" s="10">
        <v>45964.49994833334</v>
      </c>
      <c r="C75" s="11" t="s">
        <v>386</v>
      </c>
      <c r="D75" s="11" t="s">
        <v>392</v>
      </c>
      <c r="E75" s="12" t="s">
        <v>393</v>
      </c>
      <c r="F75" s="11" t="s">
        <v>18</v>
      </c>
      <c r="G75" s="11" t="s">
        <v>394</v>
      </c>
      <c r="H75" s="11" t="s">
        <v>44</v>
      </c>
      <c r="I75" s="11" t="s">
        <v>395</v>
      </c>
      <c r="J75" s="11" t="s">
        <v>396</v>
      </c>
      <c r="K75" s="11">
        <v>1.8682508210017E14</v>
      </c>
      <c r="L75" s="14"/>
      <c r="M75" s="15"/>
      <c r="N75" s="16"/>
      <c r="O75" s="16"/>
    </row>
    <row r="76" ht="22.5" customHeight="1">
      <c r="A76" s="10" t="str">
        <f t="shared" si="1"/>
        <v>11/2025</v>
      </c>
      <c r="B76" s="10">
        <v>45964.67685071759</v>
      </c>
      <c r="C76" s="11" t="s">
        <v>386</v>
      </c>
      <c r="D76" s="11" t="s">
        <v>397</v>
      </c>
      <c r="E76" s="12" t="s">
        <v>398</v>
      </c>
      <c r="F76" s="11" t="s">
        <v>18</v>
      </c>
      <c r="G76" s="11" t="s">
        <v>399</v>
      </c>
      <c r="H76" s="11" t="s">
        <v>36</v>
      </c>
      <c r="I76" s="13" t="s">
        <v>400</v>
      </c>
      <c r="J76" s="11" t="s">
        <v>401</v>
      </c>
      <c r="K76" s="11">
        <v>8.92821042900596E14</v>
      </c>
      <c r="L76" s="14"/>
      <c r="M76" s="15"/>
      <c r="N76" s="16"/>
      <c r="O76" s="16"/>
    </row>
    <row r="77" ht="22.5" customHeight="1">
      <c r="A77" s="10" t="str">
        <f t="shared" si="1"/>
        <v>11/2025</v>
      </c>
      <c r="B77" s="10">
        <v>45964.773834629625</v>
      </c>
      <c r="C77" s="11" t="s">
        <v>169</v>
      </c>
      <c r="D77" s="11" t="s">
        <v>402</v>
      </c>
      <c r="E77" s="12" t="s">
        <v>403</v>
      </c>
      <c r="F77" s="11" t="s">
        <v>404</v>
      </c>
      <c r="G77" s="11" t="s">
        <v>405</v>
      </c>
      <c r="H77" s="11" t="s">
        <v>20</v>
      </c>
      <c r="I77" s="11" t="s">
        <v>406</v>
      </c>
      <c r="J77" s="11" t="s">
        <v>407</v>
      </c>
      <c r="K77" s="11">
        <v>1.85825082200149E14</v>
      </c>
      <c r="L77" s="14"/>
      <c r="M77" s="21" t="s">
        <v>175</v>
      </c>
      <c r="N77" s="9"/>
      <c r="O77" s="9"/>
    </row>
    <row r="78" ht="22.5" customHeight="1">
      <c r="A78" s="10" t="str">
        <f t="shared" si="1"/>
        <v>11/2025</v>
      </c>
      <c r="B78" s="10">
        <v>45964.87346340278</v>
      </c>
      <c r="C78" s="11" t="s">
        <v>408</v>
      </c>
      <c r="D78" s="11" t="s">
        <v>409</v>
      </c>
      <c r="E78" s="12" t="s">
        <v>410</v>
      </c>
      <c r="F78" s="11" t="s">
        <v>118</v>
      </c>
      <c r="G78" s="11" t="s">
        <v>217</v>
      </c>
      <c r="H78" s="11" t="s">
        <v>20</v>
      </c>
      <c r="I78" s="11" t="s">
        <v>411</v>
      </c>
      <c r="J78" s="11" t="s">
        <v>412</v>
      </c>
      <c r="K78" s="11">
        <v>1.85825082200074E14</v>
      </c>
      <c r="L78" s="14"/>
      <c r="M78" s="15"/>
      <c r="N78" s="16"/>
      <c r="O78" s="16"/>
    </row>
    <row r="79" ht="22.5" customHeight="1">
      <c r="A79" s="10" t="str">
        <f t="shared" si="1"/>
        <v>11/2025</v>
      </c>
      <c r="B79" s="10">
        <v>45965.491293032406</v>
      </c>
      <c r="C79" s="11" t="s">
        <v>386</v>
      </c>
      <c r="D79" s="11" t="s">
        <v>413</v>
      </c>
      <c r="E79" s="12" t="s">
        <v>414</v>
      </c>
      <c r="F79" s="11" t="s">
        <v>18</v>
      </c>
      <c r="G79" s="11" t="s">
        <v>415</v>
      </c>
      <c r="H79" s="11" t="s">
        <v>36</v>
      </c>
      <c r="I79" s="11" t="s">
        <v>416</v>
      </c>
      <c r="J79" s="11" t="s">
        <v>417</v>
      </c>
      <c r="K79" s="11">
        <v>1.19823021300189E14</v>
      </c>
      <c r="L79" s="14"/>
      <c r="M79" s="15"/>
      <c r="N79" s="16"/>
      <c r="O79" s="16"/>
    </row>
    <row r="80" ht="22.5" customHeight="1">
      <c r="A80" s="10" t="str">
        <f t="shared" si="1"/>
        <v>11/2025</v>
      </c>
      <c r="B80" s="10">
        <v>45965.494219733795</v>
      </c>
      <c r="C80" s="11" t="s">
        <v>386</v>
      </c>
      <c r="D80" s="11" t="s">
        <v>418</v>
      </c>
      <c r="E80" s="12" t="s">
        <v>419</v>
      </c>
      <c r="F80" s="11" t="s">
        <v>18</v>
      </c>
      <c r="G80" s="11" t="s">
        <v>420</v>
      </c>
      <c r="H80" s="11" t="s">
        <v>36</v>
      </c>
      <c r="I80" s="11" t="s">
        <v>421</v>
      </c>
      <c r="J80" s="11" t="s">
        <v>417</v>
      </c>
      <c r="K80" s="11">
        <v>1.39824091100576E14</v>
      </c>
      <c r="L80" s="14"/>
      <c r="M80" s="15"/>
      <c r="N80" s="16"/>
      <c r="O80" s="16"/>
    </row>
    <row r="81" ht="22.5" customHeight="1">
      <c r="A81" s="10" t="str">
        <f t="shared" si="1"/>
        <v>11/2025</v>
      </c>
      <c r="B81" s="10">
        <v>45965.61393203704</v>
      </c>
      <c r="C81" s="11" t="s">
        <v>386</v>
      </c>
      <c r="D81" s="11" t="s">
        <v>422</v>
      </c>
      <c r="E81" s="12" t="s">
        <v>423</v>
      </c>
      <c r="F81" s="11" t="s">
        <v>18</v>
      </c>
      <c r="G81" s="11" t="s">
        <v>424</v>
      </c>
      <c r="H81" s="11" t="s">
        <v>425</v>
      </c>
      <c r="I81" s="13" t="s">
        <v>426</v>
      </c>
      <c r="J81" s="11" t="s">
        <v>427</v>
      </c>
      <c r="K81" s="11">
        <v>8.92821042900537E14</v>
      </c>
      <c r="L81" s="14"/>
      <c r="M81" s="15"/>
      <c r="N81" s="16"/>
      <c r="O81" s="16"/>
    </row>
    <row r="82" ht="22.5" customHeight="1">
      <c r="A82" s="10" t="str">
        <f t="shared" si="1"/>
        <v>11/2025</v>
      </c>
      <c r="B82" s="10">
        <v>45965.73828128472</v>
      </c>
      <c r="C82" s="11" t="s">
        <v>32</v>
      </c>
      <c r="D82" s="11" t="s">
        <v>428</v>
      </c>
      <c r="E82" s="12" t="s">
        <v>429</v>
      </c>
      <c r="F82" s="11" t="s">
        <v>18</v>
      </c>
      <c r="G82" s="11" t="s">
        <v>430</v>
      </c>
      <c r="H82" s="11" t="s">
        <v>36</v>
      </c>
      <c r="I82" s="11" t="s">
        <v>431</v>
      </c>
      <c r="J82" s="11" t="s">
        <v>432</v>
      </c>
      <c r="K82" s="11">
        <v>1.39822060400056E14</v>
      </c>
      <c r="L82" s="14"/>
      <c r="M82" s="15"/>
      <c r="N82" s="16"/>
      <c r="O82" s="16"/>
    </row>
    <row r="83" ht="22.5" customHeight="1">
      <c r="A83" s="10" t="str">
        <f t="shared" si="1"/>
        <v>11/2025</v>
      </c>
      <c r="B83" s="10">
        <v>45965.83006739583</v>
      </c>
      <c r="C83" s="11" t="s">
        <v>386</v>
      </c>
      <c r="D83" s="11" t="s">
        <v>433</v>
      </c>
      <c r="E83" s="12" t="s">
        <v>434</v>
      </c>
      <c r="F83" s="11" t="s">
        <v>18</v>
      </c>
      <c r="G83" s="11" t="s">
        <v>435</v>
      </c>
      <c r="H83" s="11" t="s">
        <v>36</v>
      </c>
      <c r="I83" s="11" t="s">
        <v>436</v>
      </c>
      <c r="J83" s="11" t="s">
        <v>417</v>
      </c>
      <c r="K83" s="11">
        <v>1.39824061500308E14</v>
      </c>
      <c r="L83" s="14"/>
      <c r="M83" s="15"/>
      <c r="N83" s="16"/>
      <c r="O83" s="16"/>
    </row>
    <row r="84" ht="22.5" customHeight="1">
      <c r="A84" s="10" t="str">
        <f t="shared" si="1"/>
        <v>11/2025</v>
      </c>
      <c r="B84" s="10">
        <v>45966.40855094907</v>
      </c>
      <c r="C84" s="11" t="s">
        <v>437</v>
      </c>
      <c r="D84" s="11" t="s">
        <v>438</v>
      </c>
      <c r="E84" s="12" t="s">
        <v>439</v>
      </c>
      <c r="F84" s="11" t="s">
        <v>118</v>
      </c>
      <c r="G84" s="11" t="s">
        <v>440</v>
      </c>
      <c r="H84" s="11" t="s">
        <v>36</v>
      </c>
      <c r="I84" s="11" t="s">
        <v>441</v>
      </c>
      <c r="J84" s="11" t="s">
        <v>442</v>
      </c>
      <c r="K84" s="11">
        <v>1.3982309120036E14</v>
      </c>
      <c r="L84" s="14"/>
      <c r="M84" s="15"/>
      <c r="N84" s="16"/>
      <c r="O84" s="16"/>
    </row>
    <row r="85" ht="22.5" customHeight="1">
      <c r="A85" s="10" t="str">
        <f t="shared" si="1"/>
        <v>11/2025</v>
      </c>
      <c r="B85" s="10">
        <v>45966.522441064815</v>
      </c>
      <c r="C85" s="11" t="s">
        <v>386</v>
      </c>
      <c r="D85" s="11" t="s">
        <v>443</v>
      </c>
      <c r="E85" s="12" t="s">
        <v>444</v>
      </c>
      <c r="F85" s="11" t="s">
        <v>18</v>
      </c>
      <c r="G85" s="11" t="s">
        <v>445</v>
      </c>
      <c r="H85" s="11" t="s">
        <v>36</v>
      </c>
      <c r="I85" s="11" t="s">
        <v>446</v>
      </c>
      <c r="J85" s="11" t="s">
        <v>417</v>
      </c>
      <c r="K85" s="11">
        <v>1.39822102000149E14</v>
      </c>
      <c r="L85" s="14"/>
      <c r="M85" s="15"/>
      <c r="N85" s="16"/>
      <c r="O85" s="16"/>
    </row>
    <row r="86" ht="22.5" customHeight="1">
      <c r="A86" s="10" t="str">
        <f t="shared" si="1"/>
        <v>11/2025</v>
      </c>
      <c r="B86" s="10">
        <v>45967.61776064815</v>
      </c>
      <c r="C86" s="11" t="s">
        <v>386</v>
      </c>
      <c r="D86" s="11" t="s">
        <v>447</v>
      </c>
      <c r="E86" s="12" t="s">
        <v>448</v>
      </c>
      <c r="F86" s="11" t="s">
        <v>18</v>
      </c>
      <c r="G86" s="11" t="s">
        <v>449</v>
      </c>
      <c r="H86" s="11" t="s">
        <v>36</v>
      </c>
      <c r="I86" s="11" t="s">
        <v>450</v>
      </c>
      <c r="J86" s="11" t="s">
        <v>417</v>
      </c>
      <c r="K86" s="11">
        <v>9.02821080500127E14</v>
      </c>
      <c r="L86" s="14"/>
      <c r="M86" s="15"/>
      <c r="N86" s="16"/>
      <c r="O86" s="16"/>
    </row>
    <row r="87" ht="22.5" customHeight="1">
      <c r="A87" s="10" t="str">
        <f t="shared" si="1"/>
        <v>11/2025</v>
      </c>
      <c r="B87" s="10">
        <v>45968.37726894676</v>
      </c>
      <c r="C87" s="11" t="s">
        <v>103</v>
      </c>
      <c r="D87" s="11" t="s">
        <v>451</v>
      </c>
      <c r="E87" s="12" t="s">
        <v>452</v>
      </c>
      <c r="F87" s="11" t="s">
        <v>106</v>
      </c>
      <c r="G87" s="11" t="s">
        <v>453</v>
      </c>
      <c r="H87" s="11" t="s">
        <v>36</v>
      </c>
      <c r="I87" s="11" t="s">
        <v>454</v>
      </c>
      <c r="J87" s="11" t="s">
        <v>455</v>
      </c>
      <c r="K87" s="11">
        <v>8.9282101230013E14</v>
      </c>
      <c r="L87" s="14"/>
      <c r="M87" s="21" t="s">
        <v>380</v>
      </c>
      <c r="N87" s="9"/>
      <c r="O87" s="9"/>
    </row>
    <row r="88" ht="22.5" customHeight="1">
      <c r="A88" s="10" t="str">
        <f t="shared" si="1"/>
        <v>11/2025</v>
      </c>
      <c r="B88" s="10">
        <v>45968.61395782407</v>
      </c>
      <c r="C88" s="11" t="s">
        <v>456</v>
      </c>
      <c r="D88" s="11" t="s">
        <v>83</v>
      </c>
      <c r="E88" s="12" t="s">
        <v>457</v>
      </c>
      <c r="F88" s="11" t="s">
        <v>458</v>
      </c>
      <c r="G88" s="11" t="s">
        <v>459</v>
      </c>
      <c r="H88" s="11" t="s">
        <v>44</v>
      </c>
      <c r="I88" s="11" t="s">
        <v>460</v>
      </c>
      <c r="J88" s="11" t="s">
        <v>461</v>
      </c>
      <c r="K88" s="11">
        <v>1.84825082100237E14</v>
      </c>
      <c r="L88" s="14"/>
      <c r="M88" s="15"/>
      <c r="N88" s="16"/>
      <c r="O88" s="16"/>
    </row>
    <row r="89" ht="22.5" customHeight="1">
      <c r="A89" s="10" t="str">
        <f t="shared" si="1"/>
        <v>11/2025</v>
      </c>
      <c r="B89" s="10">
        <v>45968.86648766204</v>
      </c>
      <c r="C89" s="11" t="s">
        <v>408</v>
      </c>
      <c r="D89" s="11" t="s">
        <v>462</v>
      </c>
      <c r="E89" s="12" t="s">
        <v>463</v>
      </c>
      <c r="F89" s="11" t="s">
        <v>118</v>
      </c>
      <c r="G89" s="11" t="s">
        <v>217</v>
      </c>
      <c r="H89" s="11" t="s">
        <v>20</v>
      </c>
      <c r="I89" s="11" t="s">
        <v>464</v>
      </c>
      <c r="J89" s="11" t="s">
        <v>465</v>
      </c>
      <c r="K89" s="11">
        <v>1.85825082200048E14</v>
      </c>
      <c r="L89" s="14"/>
      <c r="M89" s="15"/>
      <c r="N89" s="16"/>
      <c r="O89" s="16"/>
    </row>
    <row r="90" ht="22.5" customHeight="1">
      <c r="A90" s="11" t="str">
        <f t="shared" si="1"/>
        <v>11/2025</v>
      </c>
      <c r="B90" s="22">
        <v>45969.0</v>
      </c>
      <c r="C90" s="11" t="s">
        <v>103</v>
      </c>
      <c r="D90" s="11" t="s">
        <v>466</v>
      </c>
      <c r="E90" s="12" t="s">
        <v>467</v>
      </c>
      <c r="F90" s="11" t="s">
        <v>106</v>
      </c>
      <c r="G90" s="11" t="s">
        <v>468</v>
      </c>
      <c r="H90" s="11" t="s">
        <v>36</v>
      </c>
      <c r="I90" s="11" t="s">
        <v>469</v>
      </c>
      <c r="J90" s="11" t="s">
        <v>470</v>
      </c>
      <c r="K90" s="11">
        <v>1.39822112600157E14</v>
      </c>
      <c r="L90" s="14"/>
      <c r="M90" s="21" t="s">
        <v>380</v>
      </c>
      <c r="N90" s="9"/>
      <c r="O90" s="9"/>
    </row>
    <row r="91" ht="22.5" customHeight="1">
      <c r="A91" s="10" t="str">
        <f t="shared" si="1"/>
        <v>11/2025</v>
      </c>
      <c r="B91" s="10">
        <v>45969.66614136574</v>
      </c>
      <c r="C91" s="11" t="s">
        <v>386</v>
      </c>
      <c r="D91" s="11" t="s">
        <v>471</v>
      </c>
      <c r="E91" s="12" t="s">
        <v>472</v>
      </c>
      <c r="F91" s="11" t="s">
        <v>18</v>
      </c>
      <c r="G91" s="11" t="s">
        <v>473</v>
      </c>
      <c r="H91" s="11" t="s">
        <v>36</v>
      </c>
      <c r="I91" s="11" t="s">
        <v>474</v>
      </c>
      <c r="J91" s="11" t="s">
        <v>475</v>
      </c>
      <c r="K91" s="11">
        <v>1.39822060400119E14</v>
      </c>
      <c r="L91" s="14"/>
      <c r="M91" s="15"/>
      <c r="N91" s="16"/>
      <c r="O91" s="16"/>
    </row>
    <row r="92" ht="22.5" customHeight="1">
      <c r="A92" s="10" t="str">
        <f t="shared" si="1"/>
        <v>11/2025</v>
      </c>
      <c r="B92" s="10">
        <v>45969.67930329861</v>
      </c>
      <c r="C92" s="11" t="s">
        <v>386</v>
      </c>
      <c r="D92" s="11" t="s">
        <v>476</v>
      </c>
      <c r="E92" s="12" t="s">
        <v>477</v>
      </c>
      <c r="F92" s="11" t="s">
        <v>18</v>
      </c>
      <c r="G92" s="11" t="s">
        <v>478</v>
      </c>
      <c r="H92" s="11" t="s">
        <v>36</v>
      </c>
      <c r="I92" s="11" t="s">
        <v>479</v>
      </c>
      <c r="J92" s="11" t="s">
        <v>417</v>
      </c>
      <c r="K92" s="11">
        <v>1.19824062700219E14</v>
      </c>
      <c r="L92" s="14"/>
      <c r="M92" s="15"/>
      <c r="N92" s="16"/>
      <c r="O92" s="16"/>
    </row>
    <row r="93" ht="22.5" customHeight="1">
      <c r="A93" s="10" t="str">
        <f t="shared" si="1"/>
        <v>11/2025</v>
      </c>
      <c r="B93" s="10">
        <v>45970.53544057871</v>
      </c>
      <c r="C93" s="11" t="s">
        <v>287</v>
      </c>
      <c r="D93" s="11" t="s">
        <v>480</v>
      </c>
      <c r="E93" s="11" t="s">
        <v>481</v>
      </c>
      <c r="F93" s="11" t="s">
        <v>482</v>
      </c>
      <c r="G93" s="11" t="s">
        <v>483</v>
      </c>
      <c r="H93" s="11" t="s">
        <v>20</v>
      </c>
      <c r="I93" s="13" t="s">
        <v>484</v>
      </c>
      <c r="J93" s="11" t="s">
        <v>293</v>
      </c>
      <c r="K93" s="11">
        <v>1.86825082100176E14</v>
      </c>
      <c r="L93" s="14"/>
      <c r="M93" s="15"/>
      <c r="N93" s="16"/>
      <c r="O93" s="16"/>
    </row>
    <row r="94" ht="22.5" customHeight="1">
      <c r="A94" s="10" t="str">
        <f t="shared" si="1"/>
        <v>11/2025</v>
      </c>
      <c r="B94" s="10">
        <v>45971.756287118056</v>
      </c>
      <c r="C94" s="11" t="s">
        <v>32</v>
      </c>
      <c r="D94" s="11" t="s">
        <v>485</v>
      </c>
      <c r="E94" s="12" t="s">
        <v>486</v>
      </c>
      <c r="F94" s="11" t="s">
        <v>18</v>
      </c>
      <c r="G94" s="11" t="s">
        <v>487</v>
      </c>
      <c r="H94" s="11" t="s">
        <v>36</v>
      </c>
      <c r="I94" s="11" t="s">
        <v>488</v>
      </c>
      <c r="J94" s="11" t="s">
        <v>489</v>
      </c>
      <c r="K94" s="11">
        <v>8.92822070100013E14</v>
      </c>
      <c r="L94" s="14"/>
      <c r="M94" s="15"/>
      <c r="N94" s="16"/>
      <c r="O94" s="16"/>
    </row>
    <row r="95" ht="22.5" customHeight="1">
      <c r="A95" s="10" t="str">
        <f t="shared" si="1"/>
        <v>11/2025</v>
      </c>
      <c r="B95" s="10">
        <v>45971.81873324074</v>
      </c>
      <c r="C95" s="11" t="s">
        <v>386</v>
      </c>
      <c r="D95" s="11" t="s">
        <v>490</v>
      </c>
      <c r="E95" s="12" t="s">
        <v>491</v>
      </c>
      <c r="F95" s="11" t="s">
        <v>18</v>
      </c>
      <c r="G95" s="11" t="s">
        <v>492</v>
      </c>
      <c r="H95" s="11" t="s">
        <v>36</v>
      </c>
      <c r="I95" s="11" t="s">
        <v>493</v>
      </c>
      <c r="J95" s="11" t="s">
        <v>494</v>
      </c>
      <c r="K95" s="11">
        <v>1.39822102000101E14</v>
      </c>
      <c r="L95" s="14"/>
      <c r="M95" s="15"/>
      <c r="N95" s="16"/>
      <c r="O95" s="16"/>
    </row>
    <row r="96" ht="22.5" customHeight="1">
      <c r="A96" s="10" t="str">
        <f t="shared" si="1"/>
        <v>11/2025</v>
      </c>
      <c r="B96" s="10">
        <v>45971.82179296296</v>
      </c>
      <c r="C96" s="11" t="s">
        <v>386</v>
      </c>
      <c r="D96" s="11" t="s">
        <v>495</v>
      </c>
      <c r="E96" s="12" t="s">
        <v>496</v>
      </c>
      <c r="F96" s="11" t="s">
        <v>18</v>
      </c>
      <c r="G96" s="11" t="s">
        <v>497</v>
      </c>
      <c r="H96" s="11" t="s">
        <v>36</v>
      </c>
      <c r="I96" s="11" t="s">
        <v>498</v>
      </c>
      <c r="J96" s="11" t="s">
        <v>499</v>
      </c>
      <c r="K96" s="11">
        <v>8.92821080500014E14</v>
      </c>
      <c r="L96" s="14"/>
      <c r="M96" s="15"/>
      <c r="N96" s="16"/>
      <c r="O96" s="16"/>
    </row>
    <row r="97" ht="22.5" customHeight="1">
      <c r="A97" s="10" t="str">
        <f t="shared" si="1"/>
        <v>11/2025</v>
      </c>
      <c r="B97" s="10">
        <v>45971.82385383102</v>
      </c>
      <c r="C97" s="11" t="s">
        <v>386</v>
      </c>
      <c r="D97" s="11" t="s">
        <v>500</v>
      </c>
      <c r="E97" s="12" t="s">
        <v>501</v>
      </c>
      <c r="F97" s="11" t="s">
        <v>18</v>
      </c>
      <c r="G97" s="11" t="s">
        <v>502</v>
      </c>
      <c r="H97" s="11" t="s">
        <v>36</v>
      </c>
      <c r="I97" s="11" t="s">
        <v>503</v>
      </c>
      <c r="J97" s="11" t="s">
        <v>417</v>
      </c>
      <c r="K97" s="11">
        <v>1.39823091200226E14</v>
      </c>
      <c r="L97" s="14"/>
      <c r="M97" s="15"/>
      <c r="N97" s="16"/>
      <c r="O97" s="16"/>
    </row>
    <row r="98" ht="22.5" customHeight="1">
      <c r="A98" s="10" t="str">
        <f t="shared" si="1"/>
        <v>11/2025</v>
      </c>
      <c r="B98" s="10">
        <v>45971.883113090276</v>
      </c>
      <c r="C98" s="11" t="s">
        <v>408</v>
      </c>
      <c r="D98" s="11" t="s">
        <v>504</v>
      </c>
      <c r="E98" s="12" t="s">
        <v>505</v>
      </c>
      <c r="F98" s="11" t="s">
        <v>118</v>
      </c>
      <c r="G98" s="11" t="s">
        <v>217</v>
      </c>
      <c r="H98" s="11" t="s">
        <v>20</v>
      </c>
      <c r="I98" s="11" t="s">
        <v>506</v>
      </c>
      <c r="J98" s="11" t="s">
        <v>507</v>
      </c>
      <c r="K98" s="11">
        <v>1.85825082200147E14</v>
      </c>
      <c r="L98" s="14"/>
      <c r="M98" s="15"/>
      <c r="N98" s="16"/>
      <c r="O98" s="16"/>
    </row>
    <row r="99" ht="22.5" customHeight="1">
      <c r="A99" s="10" t="str">
        <f t="shared" si="1"/>
        <v>11/2025</v>
      </c>
      <c r="B99" s="10">
        <v>45972.776916365736</v>
      </c>
      <c r="C99" s="11" t="s">
        <v>386</v>
      </c>
      <c r="D99" s="11" t="s">
        <v>508</v>
      </c>
      <c r="E99" s="12" t="s">
        <v>509</v>
      </c>
      <c r="F99" s="11" t="s">
        <v>18</v>
      </c>
      <c r="G99" s="11" t="s">
        <v>510</v>
      </c>
      <c r="H99" s="11" t="s">
        <v>44</v>
      </c>
      <c r="I99" s="11" t="s">
        <v>511</v>
      </c>
      <c r="J99" s="11" t="s">
        <v>417</v>
      </c>
      <c r="K99" s="11">
        <v>1.84825082100201E14</v>
      </c>
      <c r="L99" s="14"/>
      <c r="M99" s="15"/>
      <c r="N99" s="16"/>
      <c r="O99" s="16"/>
    </row>
    <row r="100" ht="22.5" customHeight="1">
      <c r="A100" s="10" t="str">
        <f t="shared" si="1"/>
        <v>11/2025</v>
      </c>
      <c r="B100" s="10">
        <v>45972.780875578705</v>
      </c>
      <c r="C100" s="11" t="s">
        <v>386</v>
      </c>
      <c r="D100" s="11" t="s">
        <v>189</v>
      </c>
      <c r="E100" s="12" t="s">
        <v>190</v>
      </c>
      <c r="F100" s="11" t="s">
        <v>18</v>
      </c>
      <c r="G100" s="11" t="s">
        <v>512</v>
      </c>
      <c r="H100" s="11" t="s">
        <v>44</v>
      </c>
      <c r="I100" s="11" t="s">
        <v>513</v>
      </c>
      <c r="J100" s="11" t="s">
        <v>514</v>
      </c>
      <c r="K100" s="11">
        <v>1.84825082100131E14</v>
      </c>
      <c r="L100" s="14"/>
      <c r="M100" s="15"/>
      <c r="N100" s="16"/>
      <c r="O100" s="16"/>
    </row>
    <row r="101" ht="22.5" customHeight="1">
      <c r="A101" s="10" t="str">
        <f t="shared" si="1"/>
        <v>11/2025</v>
      </c>
      <c r="B101" s="10">
        <v>45972.790870798606</v>
      </c>
      <c r="C101" s="11" t="s">
        <v>103</v>
      </c>
      <c r="D101" s="11" t="s">
        <v>515</v>
      </c>
      <c r="E101" s="12" t="s">
        <v>516</v>
      </c>
      <c r="F101" s="11" t="s">
        <v>106</v>
      </c>
      <c r="G101" s="11" t="s">
        <v>517</v>
      </c>
      <c r="H101" s="11" t="s">
        <v>36</v>
      </c>
      <c r="I101" s="11" t="s">
        <v>518</v>
      </c>
      <c r="J101" s="11" t="s">
        <v>519</v>
      </c>
      <c r="K101" s="11">
        <v>1.39822052700002E14</v>
      </c>
      <c r="L101" s="14"/>
      <c r="M101" s="21" t="s">
        <v>380</v>
      </c>
      <c r="N101" s="9"/>
      <c r="O101" s="9"/>
    </row>
    <row r="102" ht="22.5" customHeight="1">
      <c r="A102" s="10" t="str">
        <f t="shared" si="1"/>
        <v>11/2025</v>
      </c>
      <c r="B102" s="10">
        <v>45973.78785491898</v>
      </c>
      <c r="C102" s="11" t="s">
        <v>386</v>
      </c>
      <c r="D102" s="11" t="s">
        <v>520</v>
      </c>
      <c r="E102" s="12" t="s">
        <v>521</v>
      </c>
      <c r="F102" s="11" t="s">
        <v>18</v>
      </c>
      <c r="G102" s="11" t="s">
        <v>522</v>
      </c>
      <c r="H102" s="11" t="s">
        <v>20</v>
      </c>
      <c r="I102" s="11" t="s">
        <v>523</v>
      </c>
      <c r="J102" s="11" t="s">
        <v>417</v>
      </c>
      <c r="K102" s="11">
        <v>1.85825082200119E14</v>
      </c>
      <c r="L102" s="14"/>
      <c r="M102" s="15"/>
      <c r="N102" s="16"/>
      <c r="O102" s="16"/>
    </row>
    <row r="103" ht="22.5" customHeight="1">
      <c r="A103" s="10" t="str">
        <f t="shared" si="1"/>
        <v>11/2025</v>
      </c>
      <c r="B103" s="10">
        <v>45974.51973662037</v>
      </c>
      <c r="C103" s="11" t="s">
        <v>300</v>
      </c>
      <c r="D103" s="11" t="s">
        <v>524</v>
      </c>
      <c r="E103" s="12" t="s">
        <v>525</v>
      </c>
      <c r="F103" s="11" t="s">
        <v>303</v>
      </c>
      <c r="G103" s="11" t="s">
        <v>526</v>
      </c>
      <c r="H103" s="11" t="s">
        <v>44</v>
      </c>
      <c r="I103" s="11" t="s">
        <v>527</v>
      </c>
      <c r="J103" s="11" t="s">
        <v>528</v>
      </c>
      <c r="K103" s="11">
        <v>1.85825082200141E14</v>
      </c>
      <c r="L103" s="14"/>
      <c r="M103" s="15"/>
      <c r="N103" s="16"/>
      <c r="O103" s="16"/>
    </row>
    <row r="104" ht="22.5" customHeight="1">
      <c r="A104" s="10" t="str">
        <f t="shared" si="1"/>
        <v>11/2025</v>
      </c>
      <c r="B104" s="10">
        <v>45974.803609814815</v>
      </c>
      <c r="C104" s="11" t="s">
        <v>386</v>
      </c>
      <c r="D104" s="11" t="s">
        <v>529</v>
      </c>
      <c r="E104" s="12" t="s">
        <v>530</v>
      </c>
      <c r="F104" s="11" t="s">
        <v>18</v>
      </c>
      <c r="G104" s="11" t="s">
        <v>531</v>
      </c>
      <c r="H104" s="11" t="s">
        <v>44</v>
      </c>
      <c r="I104" s="11" t="s">
        <v>532</v>
      </c>
      <c r="J104" s="11" t="s">
        <v>533</v>
      </c>
      <c r="K104" s="11">
        <v>1.85825082200114E14</v>
      </c>
      <c r="L104" s="14"/>
      <c r="M104" s="15"/>
      <c r="N104" s="16"/>
      <c r="O104" s="16"/>
    </row>
    <row r="105" ht="22.5" customHeight="1">
      <c r="A105" s="10" t="str">
        <f t="shared" si="1"/>
        <v>11/2025</v>
      </c>
      <c r="B105" s="10">
        <v>45974.80711800926</v>
      </c>
      <c r="C105" s="11" t="s">
        <v>386</v>
      </c>
      <c r="D105" s="11" t="s">
        <v>534</v>
      </c>
      <c r="E105" s="12" t="s">
        <v>535</v>
      </c>
      <c r="F105" s="11" t="s">
        <v>18</v>
      </c>
      <c r="G105" s="11" t="s">
        <v>536</v>
      </c>
      <c r="H105" s="11" t="s">
        <v>537</v>
      </c>
      <c r="I105" s="11" t="s">
        <v>538</v>
      </c>
      <c r="J105" s="11" t="s">
        <v>539</v>
      </c>
      <c r="K105" s="11" t="s">
        <v>540</v>
      </c>
      <c r="L105" s="14"/>
      <c r="M105" s="15"/>
      <c r="N105" s="16"/>
      <c r="O105" s="16"/>
    </row>
    <row r="106" ht="22.5" customHeight="1">
      <c r="A106" s="10" t="str">
        <f t="shared" si="1"/>
        <v>11/2025</v>
      </c>
      <c r="B106" s="10">
        <v>45974.81171362269</v>
      </c>
      <c r="C106" s="11" t="s">
        <v>386</v>
      </c>
      <c r="D106" s="11" t="s">
        <v>541</v>
      </c>
      <c r="E106" s="11" t="s">
        <v>542</v>
      </c>
      <c r="F106" s="11" t="s">
        <v>18</v>
      </c>
      <c r="G106" s="11" t="s">
        <v>536</v>
      </c>
      <c r="H106" s="11" t="s">
        <v>537</v>
      </c>
      <c r="I106" s="11" t="s">
        <v>543</v>
      </c>
      <c r="J106" s="11" t="s">
        <v>544</v>
      </c>
      <c r="K106" s="11" t="s">
        <v>540</v>
      </c>
      <c r="L106" s="14"/>
      <c r="M106" s="15"/>
      <c r="N106" s="16"/>
      <c r="O106" s="16"/>
    </row>
    <row r="107" ht="22.5" customHeight="1">
      <c r="A107" s="10" t="str">
        <f t="shared" si="1"/>
        <v>11/2025</v>
      </c>
      <c r="B107" s="10">
        <v>45975.428322962965</v>
      </c>
      <c r="C107" s="11" t="s">
        <v>320</v>
      </c>
      <c r="D107" s="11" t="s">
        <v>545</v>
      </c>
      <c r="E107" s="12" t="s">
        <v>546</v>
      </c>
      <c r="F107" s="11" t="s">
        <v>118</v>
      </c>
      <c r="G107" s="11">
        <v>5676.0</v>
      </c>
      <c r="H107" s="11" t="s">
        <v>20</v>
      </c>
      <c r="I107" s="11" t="s">
        <v>547</v>
      </c>
      <c r="J107" s="11" t="s">
        <v>219</v>
      </c>
      <c r="K107" s="11">
        <v>1.84825082100235E14</v>
      </c>
      <c r="L107" s="14"/>
      <c r="M107" s="15"/>
      <c r="N107" s="16"/>
      <c r="O107" s="16"/>
    </row>
    <row r="108" ht="22.5" customHeight="1">
      <c r="A108" s="10" t="str">
        <f t="shared" si="1"/>
        <v>11/2025</v>
      </c>
      <c r="B108" s="10">
        <v>45975.76838825231</v>
      </c>
      <c r="C108" s="11" t="s">
        <v>386</v>
      </c>
      <c r="D108" s="11" t="s">
        <v>548</v>
      </c>
      <c r="E108" s="12" t="s">
        <v>549</v>
      </c>
      <c r="F108" s="11" t="s">
        <v>18</v>
      </c>
      <c r="G108" s="11" t="s">
        <v>550</v>
      </c>
      <c r="H108" s="11" t="s">
        <v>20</v>
      </c>
      <c r="I108" s="11" t="s">
        <v>551</v>
      </c>
      <c r="J108" s="11" t="s">
        <v>552</v>
      </c>
      <c r="K108" s="11">
        <v>1.85825082200052E14</v>
      </c>
      <c r="L108" s="14"/>
      <c r="M108" s="15"/>
      <c r="N108" s="16"/>
      <c r="O108" s="16"/>
    </row>
    <row r="109" ht="22.5" customHeight="1">
      <c r="A109" s="10" t="str">
        <f t="shared" si="1"/>
        <v>11/2025</v>
      </c>
      <c r="B109" s="10">
        <v>45976.47377244213</v>
      </c>
      <c r="C109" s="11" t="s">
        <v>386</v>
      </c>
      <c r="D109" s="11" t="s">
        <v>553</v>
      </c>
      <c r="E109" s="12" t="s">
        <v>554</v>
      </c>
      <c r="F109" s="11" t="s">
        <v>18</v>
      </c>
      <c r="G109" s="11" t="s">
        <v>555</v>
      </c>
      <c r="H109" s="11" t="s">
        <v>36</v>
      </c>
      <c r="I109" s="11" t="s">
        <v>556</v>
      </c>
      <c r="J109" s="11" t="s">
        <v>557</v>
      </c>
      <c r="K109" s="11">
        <v>8.92823021300067E14</v>
      </c>
      <c r="L109" s="14"/>
      <c r="M109" s="15"/>
      <c r="N109" s="16"/>
      <c r="O109" s="16"/>
    </row>
    <row r="110" ht="22.5" customHeight="1">
      <c r="A110" s="10" t="str">
        <f t="shared" si="1"/>
        <v>11/2025</v>
      </c>
      <c r="B110" s="10">
        <v>45976.718198738425</v>
      </c>
      <c r="C110" s="11" t="s">
        <v>103</v>
      </c>
      <c r="D110" s="11" t="s">
        <v>558</v>
      </c>
      <c r="E110" s="12" t="s">
        <v>559</v>
      </c>
      <c r="F110" s="11" t="s">
        <v>106</v>
      </c>
      <c r="G110" s="11" t="s">
        <v>468</v>
      </c>
      <c r="H110" s="11" t="s">
        <v>36</v>
      </c>
      <c r="I110" s="11" t="s">
        <v>560</v>
      </c>
      <c r="J110" s="11" t="s">
        <v>561</v>
      </c>
      <c r="K110" s="11">
        <v>1.39823091200261E14</v>
      </c>
      <c r="L110" s="14"/>
      <c r="M110" s="21" t="s">
        <v>380</v>
      </c>
      <c r="N110" s="9"/>
      <c r="O110" s="9"/>
    </row>
    <row r="111" ht="22.5" customHeight="1">
      <c r="A111" s="10" t="str">
        <f t="shared" si="1"/>
        <v>11/2025</v>
      </c>
      <c r="B111" s="10">
        <v>45978.4570003125</v>
      </c>
      <c r="C111" s="11" t="s">
        <v>103</v>
      </c>
      <c r="D111" s="11" t="s">
        <v>562</v>
      </c>
      <c r="E111" s="12" t="s">
        <v>563</v>
      </c>
      <c r="F111" s="11" t="s">
        <v>106</v>
      </c>
      <c r="G111" s="11" t="s">
        <v>468</v>
      </c>
      <c r="H111" s="11" t="s">
        <v>36</v>
      </c>
      <c r="I111" s="11" t="s">
        <v>564</v>
      </c>
      <c r="J111" s="11" t="s">
        <v>565</v>
      </c>
      <c r="K111" s="11">
        <v>1.39824092700035E14</v>
      </c>
      <c r="L111" s="14"/>
      <c r="M111" s="21" t="s">
        <v>380</v>
      </c>
      <c r="N111" s="9"/>
      <c r="O111" s="9"/>
    </row>
    <row r="112" ht="22.5" customHeight="1">
      <c r="A112" s="10" t="str">
        <f t="shared" si="1"/>
        <v>11/2025</v>
      </c>
      <c r="B112" s="10">
        <v>45978.75020197917</v>
      </c>
      <c r="C112" s="11" t="s">
        <v>386</v>
      </c>
      <c r="D112" s="11" t="s">
        <v>566</v>
      </c>
      <c r="E112" s="12" t="s">
        <v>567</v>
      </c>
      <c r="F112" s="11" t="s">
        <v>18</v>
      </c>
      <c r="G112" s="11" t="s">
        <v>568</v>
      </c>
      <c r="H112" s="11" t="s">
        <v>36</v>
      </c>
      <c r="I112" s="11" t="s">
        <v>569</v>
      </c>
      <c r="J112" s="11" t="s">
        <v>570</v>
      </c>
      <c r="K112" s="11">
        <v>1.19824062700308E14</v>
      </c>
      <c r="L112" s="14"/>
      <c r="M112" s="15"/>
      <c r="N112" s="16"/>
      <c r="O112" s="16"/>
    </row>
    <row r="113" ht="22.5" customHeight="1">
      <c r="A113" s="10" t="str">
        <f t="shared" si="1"/>
        <v>11/2025</v>
      </c>
      <c r="B113" s="10">
        <v>45978.766881504635</v>
      </c>
      <c r="C113" s="11" t="s">
        <v>386</v>
      </c>
      <c r="D113" s="11" t="s">
        <v>571</v>
      </c>
      <c r="E113" s="12" t="s">
        <v>572</v>
      </c>
      <c r="F113" s="11" t="s">
        <v>18</v>
      </c>
      <c r="G113" s="11" t="s">
        <v>573</v>
      </c>
      <c r="H113" s="11" t="s">
        <v>36</v>
      </c>
      <c r="I113" s="11" t="s">
        <v>574</v>
      </c>
      <c r="J113" s="11" t="s">
        <v>417</v>
      </c>
      <c r="K113" s="11">
        <v>8.92821080500483E14</v>
      </c>
      <c r="L113" s="14"/>
      <c r="M113" s="15"/>
      <c r="N113" s="16"/>
      <c r="O113" s="16"/>
    </row>
    <row r="114" ht="22.5" customHeight="1">
      <c r="A114" s="10" t="str">
        <f t="shared" si="1"/>
        <v>11/2025</v>
      </c>
      <c r="B114" s="10">
        <v>45980.785040856485</v>
      </c>
      <c r="C114" s="11" t="s">
        <v>386</v>
      </c>
      <c r="D114" s="11" t="s">
        <v>575</v>
      </c>
      <c r="E114" s="12" t="s">
        <v>576</v>
      </c>
      <c r="F114" s="11" t="s">
        <v>18</v>
      </c>
      <c r="G114" s="11" t="s">
        <v>577</v>
      </c>
      <c r="H114" s="11" t="s">
        <v>44</v>
      </c>
      <c r="I114" s="11" t="s">
        <v>578</v>
      </c>
      <c r="J114" s="11" t="s">
        <v>579</v>
      </c>
      <c r="K114" s="11">
        <v>1.84825082100283E14</v>
      </c>
      <c r="L114" s="14"/>
      <c r="M114" s="15"/>
      <c r="N114" s="16"/>
      <c r="O114" s="16"/>
    </row>
    <row r="115" ht="22.5" customHeight="1">
      <c r="A115" s="10" t="str">
        <f t="shared" si="1"/>
        <v>11/2025</v>
      </c>
      <c r="B115" s="10">
        <v>45981.88112450231</v>
      </c>
      <c r="C115" s="11" t="s">
        <v>386</v>
      </c>
      <c r="D115" s="11" t="s">
        <v>575</v>
      </c>
      <c r="E115" s="11">
        <v>9.37137766E8</v>
      </c>
      <c r="F115" s="11" t="s">
        <v>18</v>
      </c>
      <c r="G115" s="11" t="s">
        <v>580</v>
      </c>
      <c r="H115" s="11" t="s">
        <v>20</v>
      </c>
      <c r="I115" s="11" t="s">
        <v>581</v>
      </c>
      <c r="J115" s="11" t="s">
        <v>582</v>
      </c>
      <c r="K115" s="11">
        <v>1.84825082100283E14</v>
      </c>
      <c r="L115" s="14"/>
      <c r="M115" s="15"/>
      <c r="N115" s="16"/>
      <c r="O115" s="16"/>
    </row>
    <row r="116" ht="22.5" customHeight="1">
      <c r="A116" s="10" t="str">
        <f t="shared" si="1"/>
        <v>11/2025</v>
      </c>
      <c r="B116" s="10">
        <v>45981.88312853009</v>
      </c>
      <c r="C116" s="11" t="s">
        <v>386</v>
      </c>
      <c r="D116" s="11" t="s">
        <v>583</v>
      </c>
      <c r="E116" s="12" t="s">
        <v>584</v>
      </c>
      <c r="F116" s="11" t="s">
        <v>18</v>
      </c>
      <c r="G116" s="11" t="s">
        <v>577</v>
      </c>
      <c r="H116" s="11" t="s">
        <v>20</v>
      </c>
      <c r="I116" s="13" t="s">
        <v>585</v>
      </c>
      <c r="J116" s="11" t="s">
        <v>586</v>
      </c>
      <c r="K116" s="11">
        <v>1.84825082100118E14</v>
      </c>
      <c r="L116" s="14"/>
      <c r="M116" s="15"/>
      <c r="N116" s="16"/>
      <c r="O116" s="16"/>
    </row>
    <row r="117" ht="22.5" customHeight="1">
      <c r="A117" s="10" t="str">
        <f t="shared" si="1"/>
        <v>11/2025</v>
      </c>
      <c r="B117" s="10">
        <v>45981.89012332176</v>
      </c>
      <c r="C117" s="11" t="s">
        <v>386</v>
      </c>
      <c r="D117" s="11" t="s">
        <v>587</v>
      </c>
      <c r="E117" s="12" t="s">
        <v>588</v>
      </c>
      <c r="F117" s="11" t="s">
        <v>18</v>
      </c>
      <c r="G117" s="11" t="s">
        <v>589</v>
      </c>
      <c r="H117" s="11" t="s">
        <v>20</v>
      </c>
      <c r="I117" s="11" t="s">
        <v>590</v>
      </c>
      <c r="J117" s="11" t="s">
        <v>591</v>
      </c>
      <c r="K117" s="11">
        <v>1.85825082200069E14</v>
      </c>
      <c r="L117" s="14"/>
      <c r="M117" s="15"/>
      <c r="N117" s="16"/>
      <c r="O117" s="16"/>
    </row>
    <row r="118" ht="22.5" customHeight="1">
      <c r="A118" s="10" t="str">
        <f t="shared" si="1"/>
        <v>11/2025</v>
      </c>
      <c r="B118" s="10">
        <v>45982.34611349537</v>
      </c>
      <c r="C118" s="11" t="s">
        <v>308</v>
      </c>
      <c r="D118" s="11" t="s">
        <v>592</v>
      </c>
      <c r="E118" s="12" t="s">
        <v>593</v>
      </c>
      <c r="F118" s="11" t="s">
        <v>106</v>
      </c>
      <c r="G118" s="11" t="s">
        <v>217</v>
      </c>
      <c r="H118" s="11" t="s">
        <v>20</v>
      </c>
      <c r="I118" s="13" t="s">
        <v>594</v>
      </c>
      <c r="J118" s="11" t="s">
        <v>238</v>
      </c>
      <c r="K118" s="11">
        <v>1.85825082200059E14</v>
      </c>
      <c r="L118" s="14"/>
      <c r="M118" s="15"/>
      <c r="N118" s="16"/>
      <c r="O118" s="16"/>
    </row>
    <row r="119" ht="22.5" customHeight="1">
      <c r="A119" s="10" t="str">
        <f t="shared" si="1"/>
        <v>11/2025</v>
      </c>
      <c r="B119" s="10">
        <v>45982.78547429398</v>
      </c>
      <c r="C119" s="11" t="s">
        <v>386</v>
      </c>
      <c r="D119" s="11" t="s">
        <v>595</v>
      </c>
      <c r="E119" s="12" t="s">
        <v>596</v>
      </c>
      <c r="F119" s="11" t="s">
        <v>18</v>
      </c>
      <c r="G119" s="11" t="s">
        <v>597</v>
      </c>
      <c r="H119" s="11" t="s">
        <v>20</v>
      </c>
      <c r="I119" s="11" t="s">
        <v>598</v>
      </c>
      <c r="J119" s="11" t="s">
        <v>417</v>
      </c>
      <c r="K119" s="11">
        <v>1.83825082100011E14</v>
      </c>
      <c r="L119" s="14"/>
      <c r="M119" s="15"/>
      <c r="N119" s="16"/>
      <c r="O119" s="16"/>
    </row>
    <row r="120" ht="22.5" customHeight="1">
      <c r="A120" s="10" t="str">
        <f t="shared" si="1"/>
        <v>11/2025</v>
      </c>
      <c r="B120" s="10">
        <v>45982.79033761574</v>
      </c>
      <c r="C120" s="11" t="s">
        <v>386</v>
      </c>
      <c r="D120" s="11" t="s">
        <v>342</v>
      </c>
      <c r="E120" s="12" t="s">
        <v>599</v>
      </c>
      <c r="F120" s="11" t="s">
        <v>18</v>
      </c>
      <c r="G120" s="11" t="s">
        <v>250</v>
      </c>
      <c r="H120" s="11" t="s">
        <v>36</v>
      </c>
      <c r="I120" s="11" t="s">
        <v>600</v>
      </c>
      <c r="J120" s="11" t="s">
        <v>601</v>
      </c>
      <c r="K120" s="11">
        <v>1.39822060400152E14</v>
      </c>
      <c r="L120" s="14"/>
      <c r="M120" s="15"/>
      <c r="N120" s="16"/>
      <c r="O120" s="16"/>
    </row>
    <row r="121" ht="22.5" customHeight="1">
      <c r="A121" s="10" t="str">
        <f t="shared" si="1"/>
        <v>11/2025</v>
      </c>
      <c r="B121" s="10">
        <v>45982.7938109838</v>
      </c>
      <c r="C121" s="11" t="s">
        <v>386</v>
      </c>
      <c r="D121" s="11" t="s">
        <v>480</v>
      </c>
      <c r="E121" s="12" t="s">
        <v>602</v>
      </c>
      <c r="F121" s="11" t="s">
        <v>18</v>
      </c>
      <c r="G121" s="11" t="s">
        <v>339</v>
      </c>
      <c r="H121" s="11" t="s">
        <v>20</v>
      </c>
      <c r="I121" s="11" t="s">
        <v>603</v>
      </c>
      <c r="J121" s="11" t="s">
        <v>604</v>
      </c>
      <c r="K121" s="11">
        <v>1.86825082100073E14</v>
      </c>
      <c r="L121" s="14"/>
      <c r="M121" s="15"/>
      <c r="N121" s="16"/>
      <c r="O121" s="16"/>
    </row>
    <row r="122" ht="22.5" customHeight="1">
      <c r="A122" s="10" t="str">
        <f t="shared" si="1"/>
        <v>11/2025</v>
      </c>
      <c r="B122" s="10">
        <v>45983.453141238424</v>
      </c>
      <c r="C122" s="11" t="s">
        <v>605</v>
      </c>
      <c r="D122" s="11" t="s">
        <v>606</v>
      </c>
      <c r="E122" s="12" t="s">
        <v>607</v>
      </c>
      <c r="F122" s="11" t="s">
        <v>608</v>
      </c>
      <c r="G122" s="11" t="s">
        <v>609</v>
      </c>
      <c r="H122" s="11" t="s">
        <v>20</v>
      </c>
      <c r="I122" s="11" t="s">
        <v>610</v>
      </c>
      <c r="J122" s="11" t="s">
        <v>299</v>
      </c>
      <c r="K122" s="11">
        <v>1.85825082200064E14</v>
      </c>
      <c r="L122" s="14"/>
      <c r="M122" s="15"/>
      <c r="N122" s="16"/>
      <c r="O122" s="16"/>
    </row>
    <row r="123" ht="22.5" customHeight="1">
      <c r="A123" s="10" t="str">
        <f t="shared" si="1"/>
        <v>11/2025</v>
      </c>
      <c r="B123" s="10">
        <v>45984.86563539352</v>
      </c>
      <c r="C123" s="11" t="s">
        <v>611</v>
      </c>
      <c r="D123" s="11" t="s">
        <v>612</v>
      </c>
      <c r="E123" s="12" t="s">
        <v>613</v>
      </c>
      <c r="F123" s="11" t="s">
        <v>614</v>
      </c>
      <c r="G123" s="11" t="s">
        <v>615</v>
      </c>
      <c r="H123" s="11" t="s">
        <v>20</v>
      </c>
      <c r="I123" s="11" t="s">
        <v>616</v>
      </c>
      <c r="J123" s="11" t="s">
        <v>617</v>
      </c>
      <c r="K123" s="11">
        <v>1.85825082200115E14</v>
      </c>
      <c r="L123" s="14"/>
      <c r="M123" s="15"/>
      <c r="N123" s="16"/>
      <c r="O123" s="16"/>
    </row>
    <row r="124" ht="22.5" customHeight="1">
      <c r="A124" s="10" t="str">
        <f t="shared" si="1"/>
        <v>11/2025</v>
      </c>
      <c r="B124" s="10">
        <v>45984.87817454861</v>
      </c>
      <c r="C124" s="11" t="s">
        <v>618</v>
      </c>
      <c r="D124" s="11" t="s">
        <v>619</v>
      </c>
      <c r="E124" s="12" t="s">
        <v>620</v>
      </c>
      <c r="F124" s="11" t="s">
        <v>118</v>
      </c>
      <c r="G124" s="11" t="s">
        <v>621</v>
      </c>
      <c r="H124" s="11" t="s">
        <v>44</v>
      </c>
      <c r="I124" s="11" t="s">
        <v>622</v>
      </c>
      <c r="J124" s="11" t="s">
        <v>623</v>
      </c>
      <c r="K124" s="11">
        <v>1.86825082100175E14</v>
      </c>
      <c r="L124" s="14"/>
      <c r="M124" s="15"/>
      <c r="N124" s="16"/>
      <c r="O124" s="16"/>
    </row>
    <row r="125" ht="22.5" customHeight="1">
      <c r="A125" s="10" t="str">
        <f t="shared" si="1"/>
        <v>11/2025</v>
      </c>
      <c r="B125" s="10">
        <v>45985.767068518515</v>
      </c>
      <c r="C125" s="11" t="s">
        <v>386</v>
      </c>
      <c r="D125" s="11" t="s">
        <v>624</v>
      </c>
      <c r="E125" s="12" t="s">
        <v>625</v>
      </c>
      <c r="F125" s="11" t="s">
        <v>18</v>
      </c>
      <c r="G125" s="11" t="s">
        <v>573</v>
      </c>
      <c r="H125" s="11" t="s">
        <v>36</v>
      </c>
      <c r="I125" s="11" t="s">
        <v>626</v>
      </c>
      <c r="J125" s="11" t="s">
        <v>366</v>
      </c>
      <c r="K125" s="11">
        <v>8.92821080500283E14</v>
      </c>
      <c r="L125" s="14"/>
      <c r="M125" s="15"/>
      <c r="N125" s="16"/>
      <c r="O125" s="16"/>
    </row>
    <row r="126" ht="22.5" customHeight="1">
      <c r="A126" s="10" t="str">
        <f t="shared" si="1"/>
        <v>11/2025</v>
      </c>
      <c r="B126" s="10">
        <v>45986.48634408565</v>
      </c>
      <c r="C126" s="11" t="s">
        <v>386</v>
      </c>
      <c r="D126" s="11" t="s">
        <v>627</v>
      </c>
      <c r="E126" s="12" t="s">
        <v>628</v>
      </c>
      <c r="F126" s="11" t="s">
        <v>18</v>
      </c>
      <c r="G126" s="11" t="s">
        <v>629</v>
      </c>
      <c r="H126" s="11" t="s">
        <v>36</v>
      </c>
      <c r="I126" s="11" t="s">
        <v>630</v>
      </c>
      <c r="J126" s="11" t="s">
        <v>631</v>
      </c>
      <c r="K126" s="11">
        <v>1.3982409110025E14</v>
      </c>
      <c r="L126" s="14"/>
      <c r="M126" s="15"/>
      <c r="N126" s="16"/>
      <c r="O126" s="16"/>
    </row>
    <row r="127" ht="22.5" customHeight="1">
      <c r="A127" s="10" t="str">
        <f t="shared" si="1"/>
        <v>11/2025</v>
      </c>
      <c r="B127" s="10">
        <v>45986.844459305554</v>
      </c>
      <c r="C127" s="11" t="s">
        <v>386</v>
      </c>
      <c r="D127" s="11" t="s">
        <v>632</v>
      </c>
      <c r="E127" s="12" t="s">
        <v>633</v>
      </c>
      <c r="F127" s="11" t="s">
        <v>18</v>
      </c>
      <c r="G127" s="11" t="s">
        <v>634</v>
      </c>
      <c r="H127" s="11" t="s">
        <v>635</v>
      </c>
      <c r="I127" s="11" t="s">
        <v>636</v>
      </c>
      <c r="J127" s="11" t="s">
        <v>637</v>
      </c>
      <c r="K127" s="11">
        <v>1.39823030200303E14</v>
      </c>
      <c r="L127" s="14"/>
      <c r="M127" s="15"/>
      <c r="N127" s="16"/>
      <c r="O127" s="16"/>
    </row>
    <row r="128" ht="22.5" customHeight="1">
      <c r="A128" s="10" t="str">
        <f t="shared" si="1"/>
        <v>11/2025</v>
      </c>
      <c r="B128" s="10">
        <v>45987.52240325231</v>
      </c>
      <c r="C128" s="11" t="s">
        <v>386</v>
      </c>
      <c r="D128" s="11" t="s">
        <v>638</v>
      </c>
      <c r="E128" s="12" t="s">
        <v>639</v>
      </c>
      <c r="F128" s="11" t="s">
        <v>18</v>
      </c>
      <c r="G128" s="11" t="s">
        <v>629</v>
      </c>
      <c r="H128" s="11" t="s">
        <v>36</v>
      </c>
      <c r="I128" s="11" t="s">
        <v>640</v>
      </c>
      <c r="J128" s="11" t="s">
        <v>641</v>
      </c>
      <c r="K128" s="11">
        <v>1.39823091200044E14</v>
      </c>
      <c r="L128" s="14"/>
      <c r="M128" s="15"/>
      <c r="N128" s="16"/>
      <c r="O128" s="16"/>
    </row>
    <row r="129" ht="22.5" customHeight="1">
      <c r="A129" s="10" t="str">
        <f t="shared" si="1"/>
        <v>11/2025</v>
      </c>
      <c r="B129" s="10">
        <v>45988.83834072917</v>
      </c>
      <c r="C129" s="11" t="s">
        <v>132</v>
      </c>
      <c r="D129" s="11" t="s">
        <v>642</v>
      </c>
      <c r="E129" s="12" t="s">
        <v>643</v>
      </c>
      <c r="F129" s="11" t="s">
        <v>18</v>
      </c>
      <c r="G129" s="11" t="s">
        <v>644</v>
      </c>
      <c r="H129" s="11" t="s">
        <v>36</v>
      </c>
      <c r="I129" s="11" t="s">
        <v>645</v>
      </c>
      <c r="J129" s="11" t="s">
        <v>646</v>
      </c>
      <c r="K129" s="11">
        <v>1.39823072500251E14</v>
      </c>
      <c r="L129" s="14"/>
      <c r="M129" s="15"/>
      <c r="N129" s="16"/>
      <c r="O129" s="16"/>
    </row>
    <row r="130" ht="22.5" customHeight="1">
      <c r="A130" s="10" t="str">
        <f t="shared" si="1"/>
        <v>11/2025</v>
      </c>
      <c r="B130" s="10">
        <v>45989.457894224535</v>
      </c>
      <c r="C130" s="11" t="s">
        <v>386</v>
      </c>
      <c r="D130" s="11" t="s">
        <v>647</v>
      </c>
      <c r="E130" s="12" t="s">
        <v>648</v>
      </c>
      <c r="F130" s="11" t="s">
        <v>18</v>
      </c>
      <c r="G130" s="11" t="s">
        <v>250</v>
      </c>
      <c r="H130" s="11" t="s">
        <v>20</v>
      </c>
      <c r="I130" s="11" t="s">
        <v>649</v>
      </c>
      <c r="J130" s="11" t="s">
        <v>650</v>
      </c>
      <c r="K130" s="11">
        <v>1.83825082100025E14</v>
      </c>
      <c r="L130" s="14"/>
      <c r="M130" s="15"/>
      <c r="N130" s="16"/>
      <c r="O130" s="16"/>
    </row>
    <row r="131" ht="22.5" customHeight="1">
      <c r="A131" s="10" t="str">
        <f t="shared" si="1"/>
        <v>11/2025</v>
      </c>
      <c r="B131" s="10">
        <v>45989.46054353009</v>
      </c>
      <c r="C131" s="11" t="s">
        <v>386</v>
      </c>
      <c r="D131" s="11" t="s">
        <v>651</v>
      </c>
      <c r="E131" s="12" t="s">
        <v>652</v>
      </c>
      <c r="F131" s="11" t="s">
        <v>18</v>
      </c>
      <c r="G131" s="11" t="s">
        <v>339</v>
      </c>
      <c r="H131" s="11" t="s">
        <v>20</v>
      </c>
      <c r="I131" s="11" t="s">
        <v>653</v>
      </c>
      <c r="J131" s="11" t="s">
        <v>654</v>
      </c>
      <c r="K131" s="11">
        <v>1.86825082100032E14</v>
      </c>
      <c r="L131" s="14"/>
      <c r="M131" s="15"/>
      <c r="N131" s="16"/>
      <c r="O131" s="16"/>
    </row>
    <row r="132" ht="22.5" customHeight="1">
      <c r="A132" s="10" t="str">
        <f t="shared" si="1"/>
        <v>11/2025</v>
      </c>
      <c r="B132" s="10">
        <v>45989.46305665509</v>
      </c>
      <c r="C132" s="11" t="s">
        <v>386</v>
      </c>
      <c r="D132" s="11" t="s">
        <v>655</v>
      </c>
      <c r="E132" s="12" t="s">
        <v>656</v>
      </c>
      <c r="F132" s="11" t="s">
        <v>18</v>
      </c>
      <c r="G132" s="11" t="s">
        <v>339</v>
      </c>
      <c r="H132" s="11" t="s">
        <v>20</v>
      </c>
      <c r="I132" s="11" t="s">
        <v>657</v>
      </c>
      <c r="J132" s="11" t="s">
        <v>658</v>
      </c>
      <c r="K132" s="11">
        <v>1.86825082100036E14</v>
      </c>
      <c r="L132" s="14"/>
      <c r="M132" s="15"/>
      <c r="N132" s="16"/>
      <c r="O132" s="16"/>
    </row>
    <row r="133" ht="22.5" customHeight="1">
      <c r="A133" s="10" t="str">
        <f t="shared" si="1"/>
        <v>11/2025</v>
      </c>
      <c r="B133" s="10">
        <v>45989.50068333333</v>
      </c>
      <c r="C133" s="11" t="s">
        <v>659</v>
      </c>
      <c r="D133" s="11" t="s">
        <v>660</v>
      </c>
      <c r="E133" s="12" t="s">
        <v>661</v>
      </c>
      <c r="F133" s="11" t="s">
        <v>290</v>
      </c>
      <c r="G133" s="11" t="s">
        <v>662</v>
      </c>
      <c r="H133" s="11" t="s">
        <v>36</v>
      </c>
      <c r="I133" s="11" t="s">
        <v>663</v>
      </c>
      <c r="J133" s="11" t="s">
        <v>664</v>
      </c>
      <c r="K133" s="11">
        <v>1.19823112300091E14</v>
      </c>
      <c r="L133" s="14"/>
      <c r="M133" s="15"/>
      <c r="N133" s="16"/>
      <c r="O133" s="16"/>
    </row>
    <row r="134" ht="22.5" customHeight="1">
      <c r="A134" s="10" t="str">
        <f t="shared" si="1"/>
        <v>11/2025</v>
      </c>
      <c r="B134" s="10">
        <v>45989.84626002314</v>
      </c>
      <c r="C134" s="11" t="s">
        <v>386</v>
      </c>
      <c r="D134" s="11" t="s">
        <v>665</v>
      </c>
      <c r="E134" s="12" t="s">
        <v>666</v>
      </c>
      <c r="F134" s="11" t="s">
        <v>18</v>
      </c>
      <c r="G134" s="11" t="s">
        <v>667</v>
      </c>
      <c r="H134" s="11" t="s">
        <v>36</v>
      </c>
      <c r="I134" s="11" t="s">
        <v>668</v>
      </c>
      <c r="J134" s="11" t="s">
        <v>669</v>
      </c>
      <c r="K134" s="11">
        <v>1.19822070100011E14</v>
      </c>
      <c r="L134" s="14"/>
      <c r="M134" s="15"/>
      <c r="N134" s="16"/>
      <c r="O134" s="16"/>
    </row>
    <row r="135" ht="22.5" customHeight="1">
      <c r="A135" s="10" t="str">
        <f t="shared" si="1"/>
        <v>11/2025</v>
      </c>
      <c r="B135" s="10">
        <v>45990.77396265046</v>
      </c>
      <c r="C135" s="11" t="s">
        <v>386</v>
      </c>
      <c r="D135" s="11" t="s">
        <v>670</v>
      </c>
      <c r="E135" s="12" t="s">
        <v>671</v>
      </c>
      <c r="F135" s="11" t="s">
        <v>18</v>
      </c>
      <c r="G135" s="11" t="s">
        <v>250</v>
      </c>
      <c r="H135" s="11" t="s">
        <v>36</v>
      </c>
      <c r="I135" s="11" t="s">
        <v>672</v>
      </c>
      <c r="J135" s="11" t="s">
        <v>673</v>
      </c>
      <c r="K135" s="11">
        <v>1.39824091100216E14</v>
      </c>
      <c r="L135" s="14"/>
      <c r="M135" s="15"/>
      <c r="N135" s="16"/>
      <c r="O135" s="16"/>
    </row>
    <row r="136" ht="22.5" customHeight="1">
      <c r="A136" s="10" t="str">
        <f t="shared" si="1"/>
        <v>11/2025</v>
      </c>
      <c r="B136" s="10">
        <v>45990.77793457176</v>
      </c>
      <c r="C136" s="11" t="s">
        <v>386</v>
      </c>
      <c r="D136" s="11" t="s">
        <v>674</v>
      </c>
      <c r="E136" s="12" t="s">
        <v>535</v>
      </c>
      <c r="F136" s="11" t="s">
        <v>18</v>
      </c>
      <c r="G136" s="11" t="s">
        <v>589</v>
      </c>
      <c r="H136" s="11" t="s">
        <v>20</v>
      </c>
      <c r="I136" s="11" t="s">
        <v>675</v>
      </c>
      <c r="J136" s="11" t="s">
        <v>676</v>
      </c>
      <c r="K136" s="11">
        <v>1.85825082200023E14</v>
      </c>
      <c r="L136" s="14"/>
      <c r="M136" s="15"/>
      <c r="N136" s="16"/>
      <c r="O136" s="16"/>
    </row>
    <row r="137" ht="22.5" customHeight="1">
      <c r="A137" s="10" t="str">
        <f t="shared" si="1"/>
        <v>11/2025</v>
      </c>
      <c r="B137" s="10">
        <v>45991.685614490736</v>
      </c>
      <c r="C137" s="11" t="s">
        <v>32</v>
      </c>
      <c r="D137" s="11" t="s">
        <v>655</v>
      </c>
      <c r="E137" s="12" t="s">
        <v>677</v>
      </c>
      <c r="F137" s="11" t="s">
        <v>18</v>
      </c>
      <c r="G137" s="11" t="s">
        <v>615</v>
      </c>
      <c r="H137" s="11" t="s">
        <v>20</v>
      </c>
      <c r="I137" s="11" t="s">
        <v>678</v>
      </c>
      <c r="J137" s="11" t="s">
        <v>679</v>
      </c>
      <c r="K137" s="11">
        <v>1.85825082200138E14</v>
      </c>
      <c r="L137" s="14"/>
      <c r="M137" s="15"/>
      <c r="N137" s="16"/>
      <c r="O137" s="16"/>
    </row>
    <row r="138" ht="22.5" customHeight="1">
      <c r="A138" s="10" t="str">
        <f t="shared" si="1"/>
        <v>11/2025</v>
      </c>
      <c r="B138" s="10">
        <v>45991.70753594907</v>
      </c>
      <c r="C138" s="11" t="s">
        <v>618</v>
      </c>
      <c r="D138" s="11" t="s">
        <v>680</v>
      </c>
      <c r="E138" s="12" t="s">
        <v>681</v>
      </c>
      <c r="F138" s="11" t="s">
        <v>118</v>
      </c>
      <c r="G138" s="11" t="s">
        <v>621</v>
      </c>
      <c r="H138" s="11" t="s">
        <v>20</v>
      </c>
      <c r="I138" s="13" t="s">
        <v>682</v>
      </c>
      <c r="J138" s="11" t="s">
        <v>683</v>
      </c>
      <c r="K138" s="11">
        <v>1.85825082200128E14</v>
      </c>
      <c r="L138" s="14"/>
      <c r="M138" s="15"/>
      <c r="N138" s="16"/>
      <c r="O138" s="16"/>
    </row>
    <row r="139" ht="22.5" customHeight="1">
      <c r="A139" s="10" t="str">
        <f t="shared" si="1"/>
        <v>11/2025</v>
      </c>
      <c r="B139" s="10">
        <v>45991.74920138889</v>
      </c>
      <c r="C139" s="11" t="s">
        <v>320</v>
      </c>
      <c r="D139" s="11" t="s">
        <v>684</v>
      </c>
      <c r="E139" s="12" t="s">
        <v>685</v>
      </c>
      <c r="F139" s="11" t="s">
        <v>686</v>
      </c>
      <c r="G139" s="11" t="s">
        <v>615</v>
      </c>
      <c r="H139" s="11" t="s">
        <v>20</v>
      </c>
      <c r="I139" s="11" t="s">
        <v>687</v>
      </c>
      <c r="J139" s="11" t="s">
        <v>688</v>
      </c>
      <c r="K139" s="11">
        <v>1.85825082200129E14</v>
      </c>
      <c r="L139" s="14"/>
      <c r="M139" s="15"/>
      <c r="N139" s="16"/>
      <c r="O139" s="16"/>
    </row>
    <row r="140" ht="22.5" customHeight="1">
      <c r="A140" s="10" t="str">
        <f t="shared" si="1"/>
        <v>12/2025</v>
      </c>
      <c r="B140" s="10">
        <v>45993.77214804398</v>
      </c>
      <c r="C140" s="11" t="s">
        <v>386</v>
      </c>
      <c r="D140" s="11" t="s">
        <v>116</v>
      </c>
      <c r="E140" s="12" t="s">
        <v>689</v>
      </c>
      <c r="F140" s="11" t="s">
        <v>18</v>
      </c>
      <c r="G140" s="11" t="s">
        <v>589</v>
      </c>
      <c r="H140" s="11" t="s">
        <v>20</v>
      </c>
      <c r="I140" s="11" t="s">
        <v>690</v>
      </c>
      <c r="J140" s="11" t="s">
        <v>691</v>
      </c>
      <c r="K140" s="11">
        <v>1.85825082200116E14</v>
      </c>
      <c r="L140" s="14"/>
      <c r="M140" s="15"/>
      <c r="N140" s="16"/>
      <c r="O140" s="16"/>
    </row>
    <row r="141" ht="22.5" customHeight="1">
      <c r="A141" s="10" t="str">
        <f t="shared" si="1"/>
        <v>12/2025</v>
      </c>
      <c r="B141" s="10">
        <v>45993.774402337964</v>
      </c>
      <c r="C141" s="11" t="s">
        <v>386</v>
      </c>
      <c r="D141" s="11" t="s">
        <v>692</v>
      </c>
      <c r="E141" s="12" t="s">
        <v>693</v>
      </c>
      <c r="F141" s="11" t="s">
        <v>18</v>
      </c>
      <c r="G141" s="11" t="s">
        <v>49</v>
      </c>
      <c r="H141" s="11" t="s">
        <v>44</v>
      </c>
      <c r="I141" s="11" t="s">
        <v>694</v>
      </c>
      <c r="J141" s="11" t="s">
        <v>695</v>
      </c>
      <c r="K141" s="11">
        <v>1.8482508210012E14</v>
      </c>
      <c r="L141" s="14"/>
      <c r="M141" s="15"/>
      <c r="N141" s="16"/>
      <c r="O141" s="16"/>
    </row>
    <row r="142" ht="22.5" customHeight="1">
      <c r="A142" s="10" t="str">
        <f t="shared" si="1"/>
        <v>12/2025</v>
      </c>
      <c r="B142" s="10">
        <v>45994.741144687505</v>
      </c>
      <c r="C142" s="11" t="s">
        <v>386</v>
      </c>
      <c r="D142" s="11" t="s">
        <v>696</v>
      </c>
      <c r="E142" s="12" t="s">
        <v>697</v>
      </c>
      <c r="F142" s="11" t="s">
        <v>18</v>
      </c>
      <c r="G142" s="11" t="s">
        <v>698</v>
      </c>
      <c r="H142" s="11" t="s">
        <v>20</v>
      </c>
      <c r="I142" s="11" t="s">
        <v>699</v>
      </c>
      <c r="J142" s="11" t="s">
        <v>700</v>
      </c>
      <c r="K142" s="11" t="s">
        <v>701</v>
      </c>
      <c r="L142" s="14"/>
      <c r="M142" s="15"/>
      <c r="N142" s="16"/>
      <c r="O142" s="16"/>
    </row>
    <row r="143" ht="22.5" customHeight="1">
      <c r="A143" s="10" t="str">
        <f t="shared" si="1"/>
        <v>12/2025</v>
      </c>
      <c r="B143" s="10">
        <v>45994.74345414352</v>
      </c>
      <c r="C143" s="11" t="s">
        <v>386</v>
      </c>
      <c r="D143" s="11" t="s">
        <v>702</v>
      </c>
      <c r="E143" s="12" t="s">
        <v>423</v>
      </c>
      <c r="F143" s="11" t="s">
        <v>18</v>
      </c>
      <c r="G143" s="11" t="s">
        <v>703</v>
      </c>
      <c r="H143" s="11" t="s">
        <v>36</v>
      </c>
      <c r="I143" s="11" t="s">
        <v>704</v>
      </c>
      <c r="J143" s="11" t="s">
        <v>705</v>
      </c>
      <c r="K143" s="11">
        <v>8.92821042900537E14</v>
      </c>
      <c r="L143" s="14"/>
      <c r="M143" s="15"/>
      <c r="N143" s="16"/>
      <c r="O143" s="16"/>
    </row>
    <row r="144" ht="22.5" customHeight="1">
      <c r="A144" s="10" t="str">
        <f t="shared" si="1"/>
        <v>12/2025</v>
      </c>
      <c r="B144" s="10">
        <v>45995.04022181713</v>
      </c>
      <c r="C144" s="11" t="s">
        <v>132</v>
      </c>
      <c r="D144" s="11" t="s">
        <v>706</v>
      </c>
      <c r="E144" s="12" t="s">
        <v>707</v>
      </c>
      <c r="F144" s="11" t="s">
        <v>18</v>
      </c>
      <c r="G144" s="11" t="s">
        <v>311</v>
      </c>
      <c r="H144" s="11" t="s">
        <v>36</v>
      </c>
      <c r="I144" s="11" t="s">
        <v>708</v>
      </c>
      <c r="J144" s="11" t="s">
        <v>709</v>
      </c>
      <c r="K144" s="11">
        <v>8.92821042900123E14</v>
      </c>
      <c r="L144" s="14"/>
      <c r="M144" s="15"/>
      <c r="N144" s="16"/>
      <c r="O144" s="16"/>
    </row>
    <row r="145" ht="22.5" customHeight="1">
      <c r="A145" s="10" t="str">
        <f t="shared" si="1"/>
        <v>12/2025</v>
      </c>
      <c r="B145" s="10">
        <v>45995.47957138889</v>
      </c>
      <c r="C145" s="11" t="s">
        <v>710</v>
      </c>
      <c r="D145" s="11" t="s">
        <v>711</v>
      </c>
      <c r="E145" s="12" t="s">
        <v>712</v>
      </c>
      <c r="F145" s="11" t="s">
        <v>713</v>
      </c>
      <c r="G145" s="11" t="s">
        <v>714</v>
      </c>
      <c r="H145" s="11" t="s">
        <v>20</v>
      </c>
      <c r="I145" s="13" t="s">
        <v>715</v>
      </c>
      <c r="J145" s="11" t="s">
        <v>219</v>
      </c>
      <c r="K145" s="11">
        <v>1.84825082100145E14</v>
      </c>
      <c r="L145" s="14"/>
      <c r="M145" s="15"/>
      <c r="N145" s="16"/>
      <c r="O145" s="16"/>
    </row>
    <row r="146" ht="22.5" customHeight="1">
      <c r="A146" s="10" t="str">
        <f t="shared" si="1"/>
        <v>12/2025</v>
      </c>
      <c r="B146" s="10">
        <v>45995.75384577546</v>
      </c>
      <c r="C146" s="11" t="s">
        <v>386</v>
      </c>
      <c r="D146" s="11" t="s">
        <v>716</v>
      </c>
      <c r="E146" s="12" t="s">
        <v>717</v>
      </c>
      <c r="F146" s="11" t="s">
        <v>18</v>
      </c>
      <c r="G146" s="11" t="s">
        <v>589</v>
      </c>
      <c r="H146" s="11" t="s">
        <v>20</v>
      </c>
      <c r="I146" s="13" t="s">
        <v>718</v>
      </c>
      <c r="J146" s="11" t="s">
        <v>719</v>
      </c>
      <c r="K146" s="11">
        <v>1.848250821001E14</v>
      </c>
      <c r="L146" s="14"/>
      <c r="M146" s="15"/>
      <c r="N146" s="16"/>
      <c r="O146" s="16"/>
    </row>
    <row r="147" ht="22.5" customHeight="1">
      <c r="A147" s="10" t="str">
        <f t="shared" si="1"/>
        <v>12/2025</v>
      </c>
      <c r="B147" s="10">
        <v>45995.75656872685</v>
      </c>
      <c r="C147" s="11" t="s">
        <v>386</v>
      </c>
      <c r="D147" s="11" t="s">
        <v>720</v>
      </c>
      <c r="E147" s="12" t="s">
        <v>549</v>
      </c>
      <c r="F147" s="11" t="s">
        <v>18</v>
      </c>
      <c r="G147" s="11" t="s">
        <v>589</v>
      </c>
      <c r="H147" s="11" t="s">
        <v>721</v>
      </c>
      <c r="I147" s="13" t="s">
        <v>722</v>
      </c>
      <c r="J147" s="11" t="s">
        <v>723</v>
      </c>
      <c r="K147" s="11">
        <v>1.85825082200052E14</v>
      </c>
      <c r="L147" s="14"/>
      <c r="M147" s="15"/>
      <c r="N147" s="16"/>
      <c r="O147" s="16"/>
    </row>
    <row r="148" ht="22.5" customHeight="1">
      <c r="A148" s="10" t="str">
        <f t="shared" si="1"/>
        <v>12/2025</v>
      </c>
      <c r="B148" s="10">
        <v>45996.810254247684</v>
      </c>
      <c r="C148" s="11" t="s">
        <v>386</v>
      </c>
      <c r="D148" s="11" t="s">
        <v>724</v>
      </c>
      <c r="E148" s="12" t="s">
        <v>725</v>
      </c>
      <c r="F148" s="11" t="s">
        <v>18</v>
      </c>
      <c r="G148" s="11" t="s">
        <v>550</v>
      </c>
      <c r="H148" s="11" t="s">
        <v>20</v>
      </c>
      <c r="I148" s="11" t="s">
        <v>726</v>
      </c>
      <c r="J148" s="11" t="s">
        <v>727</v>
      </c>
      <c r="K148" s="11">
        <v>1.8582508220002E14</v>
      </c>
      <c r="L148" s="14"/>
      <c r="M148" s="15"/>
      <c r="N148" s="16"/>
      <c r="O148" s="16"/>
    </row>
    <row r="149" ht="22.5" customHeight="1">
      <c r="A149" s="10" t="str">
        <f t="shared" si="1"/>
        <v>12/2025</v>
      </c>
      <c r="B149" s="10">
        <v>45998.66723313657</v>
      </c>
      <c r="C149" s="11" t="s">
        <v>132</v>
      </c>
      <c r="D149" s="11" t="s">
        <v>728</v>
      </c>
      <c r="E149" s="12" t="s">
        <v>729</v>
      </c>
      <c r="F149" s="11" t="s">
        <v>18</v>
      </c>
      <c r="G149" s="11" t="s">
        <v>730</v>
      </c>
      <c r="H149" s="11" t="s">
        <v>20</v>
      </c>
      <c r="I149" s="11" t="s">
        <v>731</v>
      </c>
      <c r="J149" s="11" t="s">
        <v>732</v>
      </c>
      <c r="K149" s="11">
        <v>1.84825082100079E14</v>
      </c>
      <c r="L149" s="14"/>
      <c r="M149" s="15"/>
      <c r="N149" s="16"/>
      <c r="O149" s="16"/>
    </row>
    <row r="150" ht="22.5" customHeight="1">
      <c r="A150" s="10" t="str">
        <f t="shared" si="1"/>
        <v>12/2025</v>
      </c>
      <c r="B150" s="10">
        <v>45998.70127547454</v>
      </c>
      <c r="C150" s="11" t="s">
        <v>386</v>
      </c>
      <c r="D150" s="11" t="s">
        <v>733</v>
      </c>
      <c r="E150" s="12" t="s">
        <v>677</v>
      </c>
      <c r="F150" s="11" t="s">
        <v>18</v>
      </c>
      <c r="G150" s="11" t="s">
        <v>734</v>
      </c>
      <c r="H150" s="11" t="s">
        <v>20</v>
      </c>
      <c r="I150" s="11" t="s">
        <v>735</v>
      </c>
      <c r="J150" s="11" t="s">
        <v>736</v>
      </c>
      <c r="K150" s="11">
        <v>1.85825082200145E14</v>
      </c>
      <c r="L150" s="14"/>
      <c r="M150" s="15"/>
      <c r="N150" s="16"/>
      <c r="O150" s="16"/>
    </row>
    <row r="151" ht="22.5" customHeight="1">
      <c r="A151" s="10" t="str">
        <f t="shared" si="1"/>
        <v>12/2025</v>
      </c>
      <c r="B151" s="10">
        <v>45998.70435609954</v>
      </c>
      <c r="C151" s="11" t="s">
        <v>386</v>
      </c>
      <c r="D151" s="11" t="s">
        <v>116</v>
      </c>
      <c r="E151" s="12" t="s">
        <v>689</v>
      </c>
      <c r="F151" s="11" t="s">
        <v>18</v>
      </c>
      <c r="G151" s="11" t="s">
        <v>737</v>
      </c>
      <c r="H151" s="11" t="s">
        <v>537</v>
      </c>
      <c r="I151" s="11" t="s">
        <v>738</v>
      </c>
      <c r="J151" s="11" t="s">
        <v>739</v>
      </c>
      <c r="K151" s="11" t="s">
        <v>701</v>
      </c>
      <c r="L151" s="14"/>
      <c r="M151" s="15"/>
      <c r="N151" s="16"/>
      <c r="O151" s="16"/>
    </row>
    <row r="152" ht="22.5" customHeight="1">
      <c r="A152" s="10" t="str">
        <f t="shared" si="1"/>
        <v>12/2025</v>
      </c>
      <c r="B152" s="10">
        <v>45999.523208715276</v>
      </c>
      <c r="C152" s="11" t="s">
        <v>386</v>
      </c>
      <c r="D152" s="11" t="s">
        <v>740</v>
      </c>
      <c r="E152" s="12" t="s">
        <v>741</v>
      </c>
      <c r="F152" s="11" t="s">
        <v>18</v>
      </c>
      <c r="G152" s="11" t="s">
        <v>250</v>
      </c>
      <c r="H152" s="11" t="s">
        <v>36</v>
      </c>
      <c r="I152" s="11" t="s">
        <v>742</v>
      </c>
      <c r="J152" s="11" t="s">
        <v>743</v>
      </c>
      <c r="K152" s="11">
        <v>1.39822102000008E14</v>
      </c>
      <c r="L152" s="14"/>
      <c r="M152" s="15"/>
      <c r="N152" s="16"/>
      <c r="O152" s="16"/>
    </row>
    <row r="153" ht="22.5" customHeight="1">
      <c r="A153" s="10" t="str">
        <f t="shared" si="1"/>
        <v>12/2025</v>
      </c>
      <c r="B153" s="10">
        <v>45999.78021628472</v>
      </c>
      <c r="C153" s="11" t="s">
        <v>115</v>
      </c>
      <c r="D153" s="11" t="s">
        <v>744</v>
      </c>
      <c r="E153" s="12" t="s">
        <v>745</v>
      </c>
      <c r="F153" s="11" t="s">
        <v>118</v>
      </c>
      <c r="G153" s="11" t="s">
        <v>746</v>
      </c>
      <c r="H153" s="11" t="s">
        <v>141</v>
      </c>
      <c r="I153" s="11" t="s">
        <v>747</v>
      </c>
      <c r="J153" s="11" t="s">
        <v>748</v>
      </c>
      <c r="K153" s="11" t="s">
        <v>122</v>
      </c>
      <c r="L153" s="14"/>
      <c r="M153" s="15"/>
      <c r="N153" s="16"/>
      <c r="O153" s="16"/>
    </row>
    <row r="154" ht="22.5" customHeight="1">
      <c r="A154" s="10" t="str">
        <f t="shared" si="1"/>
        <v>12/2025</v>
      </c>
      <c r="B154" s="10">
        <v>45999.78266215278</v>
      </c>
      <c r="C154" s="11" t="s">
        <v>115</v>
      </c>
      <c r="D154" s="11" t="s">
        <v>749</v>
      </c>
      <c r="E154" s="12" t="s">
        <v>745</v>
      </c>
      <c r="F154" s="11" t="s">
        <v>404</v>
      </c>
      <c r="G154" s="11" t="s">
        <v>750</v>
      </c>
      <c r="H154" s="11" t="s">
        <v>141</v>
      </c>
      <c r="I154" s="11" t="s">
        <v>751</v>
      </c>
      <c r="J154" s="11" t="s">
        <v>752</v>
      </c>
      <c r="K154" s="11" t="s">
        <v>122</v>
      </c>
      <c r="L154" s="14"/>
      <c r="M154" s="15"/>
      <c r="N154" s="16"/>
      <c r="O154" s="16"/>
    </row>
    <row r="155" ht="22.5" customHeight="1">
      <c r="A155" s="10" t="str">
        <f t="shared" si="1"/>
        <v>12/2025</v>
      </c>
      <c r="B155" s="10">
        <v>45999.78668077546</v>
      </c>
      <c r="C155" s="11" t="s">
        <v>115</v>
      </c>
      <c r="D155" s="11" t="s">
        <v>753</v>
      </c>
      <c r="E155" s="12" t="s">
        <v>754</v>
      </c>
      <c r="F155" s="11" t="s">
        <v>118</v>
      </c>
      <c r="G155" s="11" t="s">
        <v>755</v>
      </c>
      <c r="H155" s="11" t="s">
        <v>141</v>
      </c>
      <c r="I155" s="11" t="s">
        <v>756</v>
      </c>
      <c r="J155" s="11" t="s">
        <v>757</v>
      </c>
      <c r="K155" s="11" t="s">
        <v>122</v>
      </c>
      <c r="L155" s="14"/>
      <c r="M155" s="15"/>
      <c r="N155" s="16"/>
      <c r="O155" s="16"/>
    </row>
    <row r="156" ht="22.5" customHeight="1">
      <c r="A156" s="10" t="str">
        <f t="shared" si="1"/>
        <v>12/2025</v>
      </c>
      <c r="B156" s="10">
        <v>45999.838499641206</v>
      </c>
      <c r="C156" s="11" t="s">
        <v>386</v>
      </c>
      <c r="D156" s="11" t="s">
        <v>758</v>
      </c>
      <c r="E156" s="12" t="s">
        <v>759</v>
      </c>
      <c r="F156" s="11" t="s">
        <v>18</v>
      </c>
      <c r="G156" s="11" t="s">
        <v>760</v>
      </c>
      <c r="H156" s="11" t="s">
        <v>36</v>
      </c>
      <c r="I156" s="11" t="s">
        <v>761</v>
      </c>
      <c r="J156" s="11" t="s">
        <v>762</v>
      </c>
      <c r="K156" s="11">
        <v>1.19823072500135E14</v>
      </c>
      <c r="L156" s="14"/>
      <c r="M156" s="15"/>
      <c r="N156" s="16"/>
      <c r="O156" s="16"/>
    </row>
    <row r="157" ht="22.5" customHeight="1">
      <c r="A157" s="10" t="str">
        <f t="shared" si="1"/>
        <v>12/2025</v>
      </c>
      <c r="B157" s="10">
        <v>45999.84076947917</v>
      </c>
      <c r="C157" s="11" t="s">
        <v>386</v>
      </c>
      <c r="D157" s="11" t="s">
        <v>763</v>
      </c>
      <c r="E157" s="12" t="s">
        <v>764</v>
      </c>
      <c r="F157" s="11" t="s">
        <v>18</v>
      </c>
      <c r="G157" s="11" t="s">
        <v>250</v>
      </c>
      <c r="H157" s="11" t="s">
        <v>36</v>
      </c>
      <c r="I157" s="11" t="s">
        <v>765</v>
      </c>
      <c r="J157" s="11" t="s">
        <v>766</v>
      </c>
      <c r="K157" s="11">
        <v>1.39822102000269E14</v>
      </c>
      <c r="L157" s="14"/>
      <c r="M157" s="15"/>
      <c r="N157" s="16"/>
      <c r="O157" s="16"/>
    </row>
    <row r="158" ht="22.5" customHeight="1">
      <c r="A158" s="10" t="str">
        <f t="shared" si="1"/>
        <v>12/2025</v>
      </c>
      <c r="B158" s="10">
        <v>46000.47438533565</v>
      </c>
      <c r="C158" s="11" t="s">
        <v>300</v>
      </c>
      <c r="D158" s="11" t="s">
        <v>767</v>
      </c>
      <c r="E158" s="12" t="s">
        <v>768</v>
      </c>
      <c r="F158" s="11" t="s">
        <v>303</v>
      </c>
      <c r="G158" s="11" t="s">
        <v>769</v>
      </c>
      <c r="H158" s="11" t="s">
        <v>20</v>
      </c>
      <c r="I158" s="11" t="s">
        <v>770</v>
      </c>
      <c r="J158" s="11" t="s">
        <v>771</v>
      </c>
      <c r="K158" s="11">
        <v>1.85825082200017E14</v>
      </c>
      <c r="L158" s="14"/>
      <c r="M158" s="15"/>
      <c r="N158" s="16"/>
      <c r="O158" s="16"/>
    </row>
    <row r="159" ht="22.5" customHeight="1">
      <c r="A159" s="10" t="str">
        <f t="shared" si="1"/>
        <v>12/2025</v>
      </c>
      <c r="B159" s="10">
        <v>46001.30119239583</v>
      </c>
      <c r="C159" s="11" t="s">
        <v>386</v>
      </c>
      <c r="D159" s="11" t="s">
        <v>772</v>
      </c>
      <c r="E159" s="12" t="s">
        <v>773</v>
      </c>
      <c r="F159" s="11" t="s">
        <v>18</v>
      </c>
      <c r="G159" s="11" t="s">
        <v>774</v>
      </c>
      <c r="H159" s="11" t="s">
        <v>36</v>
      </c>
      <c r="I159" s="11" t="s">
        <v>775</v>
      </c>
      <c r="J159" s="11" t="s">
        <v>776</v>
      </c>
      <c r="K159" s="11">
        <v>1.39822060400055E14</v>
      </c>
      <c r="L159" s="14"/>
      <c r="M159" s="15"/>
      <c r="N159" s="16"/>
      <c r="O159" s="16"/>
    </row>
    <row r="160" ht="22.5" customHeight="1">
      <c r="A160" s="10" t="str">
        <f t="shared" si="1"/>
        <v>12/2025</v>
      </c>
      <c r="B160" s="10">
        <v>46001.46401181713</v>
      </c>
      <c r="C160" s="11" t="s">
        <v>115</v>
      </c>
      <c r="D160" s="11" t="s">
        <v>777</v>
      </c>
      <c r="E160" s="12" t="s">
        <v>778</v>
      </c>
      <c r="F160" s="11" t="s">
        <v>118</v>
      </c>
      <c r="G160" s="11" t="s">
        <v>779</v>
      </c>
      <c r="H160" s="11" t="s">
        <v>36</v>
      </c>
      <c r="I160" s="13" t="s">
        <v>780</v>
      </c>
      <c r="J160" s="11" t="s">
        <v>781</v>
      </c>
      <c r="K160" s="11" t="s">
        <v>122</v>
      </c>
      <c r="L160" s="14"/>
      <c r="M160" s="15"/>
      <c r="N160" s="16"/>
      <c r="O160" s="16"/>
    </row>
    <row r="161" ht="22.5" customHeight="1">
      <c r="A161" s="10" t="str">
        <f t="shared" si="1"/>
        <v>12/2025</v>
      </c>
      <c r="B161" s="10">
        <v>46001.465134618054</v>
      </c>
      <c r="C161" s="11" t="s">
        <v>115</v>
      </c>
      <c r="D161" s="11" t="s">
        <v>782</v>
      </c>
      <c r="E161" s="12" t="s">
        <v>783</v>
      </c>
      <c r="F161" s="11" t="s">
        <v>118</v>
      </c>
      <c r="G161" s="11" t="s">
        <v>784</v>
      </c>
      <c r="H161" s="11" t="s">
        <v>36</v>
      </c>
      <c r="I161" s="11" t="s">
        <v>785</v>
      </c>
      <c r="J161" s="11" t="s">
        <v>781</v>
      </c>
      <c r="K161" s="11" t="s">
        <v>122</v>
      </c>
      <c r="L161" s="14"/>
      <c r="M161" s="15"/>
      <c r="N161" s="16"/>
      <c r="O161" s="16"/>
    </row>
    <row r="162" ht="22.5" customHeight="1">
      <c r="A162" s="10" t="str">
        <f t="shared" si="1"/>
        <v>12/2025</v>
      </c>
      <c r="B162" s="10">
        <v>46001.46641071759</v>
      </c>
      <c r="C162" s="11" t="s">
        <v>115</v>
      </c>
      <c r="D162" s="11" t="s">
        <v>786</v>
      </c>
      <c r="E162" s="12" t="s">
        <v>787</v>
      </c>
      <c r="F162" s="11" t="s">
        <v>118</v>
      </c>
      <c r="G162" s="11" t="s">
        <v>788</v>
      </c>
      <c r="H162" s="11" t="s">
        <v>36</v>
      </c>
      <c r="I162" s="11" t="s">
        <v>789</v>
      </c>
      <c r="J162" s="11" t="s">
        <v>781</v>
      </c>
      <c r="K162" s="11" t="s">
        <v>122</v>
      </c>
      <c r="L162" s="14"/>
      <c r="M162" s="15"/>
      <c r="N162" s="16"/>
      <c r="O162" s="16"/>
    </row>
    <row r="163" ht="22.5" customHeight="1">
      <c r="A163" s="10" t="str">
        <f t="shared" si="1"/>
        <v>12/2025</v>
      </c>
      <c r="B163" s="10">
        <v>46001.46776402778</v>
      </c>
      <c r="C163" s="11" t="s">
        <v>115</v>
      </c>
      <c r="D163" s="11" t="s">
        <v>520</v>
      </c>
      <c r="E163" s="12" t="s">
        <v>790</v>
      </c>
      <c r="F163" s="11" t="s">
        <v>118</v>
      </c>
      <c r="G163" s="11">
        <v>5440.0</v>
      </c>
      <c r="H163" s="11" t="s">
        <v>36</v>
      </c>
      <c r="I163" s="11" t="s">
        <v>791</v>
      </c>
      <c r="J163" s="11" t="s">
        <v>781</v>
      </c>
      <c r="K163" s="11" t="s">
        <v>122</v>
      </c>
      <c r="L163" s="14"/>
      <c r="M163" s="15"/>
      <c r="N163" s="16"/>
      <c r="O163" s="16"/>
    </row>
    <row r="164" ht="22.5" customHeight="1">
      <c r="A164" s="10" t="str">
        <f t="shared" si="1"/>
        <v>12/2025</v>
      </c>
      <c r="B164" s="10">
        <v>46001.46879451389</v>
      </c>
      <c r="C164" s="11" t="s">
        <v>115</v>
      </c>
      <c r="D164" s="11" t="s">
        <v>792</v>
      </c>
      <c r="E164" s="11">
        <v>3.44049262E8</v>
      </c>
      <c r="F164" s="11" t="s">
        <v>118</v>
      </c>
      <c r="G164" s="11">
        <v>5640.0</v>
      </c>
      <c r="H164" s="11" t="s">
        <v>36</v>
      </c>
      <c r="I164" s="11" t="s">
        <v>793</v>
      </c>
      <c r="J164" s="11" t="s">
        <v>781</v>
      </c>
      <c r="K164" s="11" t="s">
        <v>122</v>
      </c>
      <c r="L164" s="14"/>
      <c r="M164" s="15"/>
      <c r="N164" s="16"/>
      <c r="O164" s="16"/>
    </row>
    <row r="165" ht="22.5" customHeight="1">
      <c r="A165" s="10" t="str">
        <f t="shared" si="1"/>
        <v>12/2025</v>
      </c>
      <c r="B165" s="10">
        <v>46001.46990722222</v>
      </c>
      <c r="C165" s="11" t="s">
        <v>115</v>
      </c>
      <c r="D165" s="11" t="s">
        <v>794</v>
      </c>
      <c r="E165" s="12" t="s">
        <v>795</v>
      </c>
      <c r="F165" s="11" t="s">
        <v>118</v>
      </c>
      <c r="G165" s="11" t="s">
        <v>796</v>
      </c>
      <c r="H165" s="11" t="s">
        <v>36</v>
      </c>
      <c r="I165" s="11" t="s">
        <v>797</v>
      </c>
      <c r="J165" s="11" t="s">
        <v>781</v>
      </c>
      <c r="K165" s="11" t="s">
        <v>798</v>
      </c>
      <c r="L165" s="14"/>
      <c r="M165" s="15"/>
      <c r="N165" s="16"/>
      <c r="O165" s="16"/>
    </row>
    <row r="166" ht="22.5" customHeight="1">
      <c r="A166" s="10" t="str">
        <f t="shared" si="1"/>
        <v>12/2025</v>
      </c>
      <c r="B166" s="10">
        <v>46001.4708556713</v>
      </c>
      <c r="C166" s="11" t="s">
        <v>115</v>
      </c>
      <c r="D166" s="11" t="s">
        <v>799</v>
      </c>
      <c r="E166" s="12" t="s">
        <v>800</v>
      </c>
      <c r="F166" s="11" t="s">
        <v>118</v>
      </c>
      <c r="G166" s="11">
        <v>5840.0</v>
      </c>
      <c r="H166" s="11" t="s">
        <v>36</v>
      </c>
      <c r="I166" s="11" t="s">
        <v>801</v>
      </c>
      <c r="J166" s="11" t="s">
        <v>781</v>
      </c>
      <c r="K166" s="11" t="s">
        <v>122</v>
      </c>
      <c r="L166" s="14"/>
      <c r="M166" s="15"/>
      <c r="N166" s="16"/>
      <c r="O166" s="16"/>
    </row>
    <row r="167" ht="22.5" customHeight="1">
      <c r="A167" s="10" t="str">
        <f t="shared" si="1"/>
        <v>12/2025</v>
      </c>
      <c r="B167" s="10">
        <v>46001.474318900466</v>
      </c>
      <c r="C167" s="11" t="s">
        <v>115</v>
      </c>
      <c r="D167" s="11" t="s">
        <v>802</v>
      </c>
      <c r="E167" s="12" t="s">
        <v>803</v>
      </c>
      <c r="F167" s="11" t="s">
        <v>118</v>
      </c>
      <c r="G167" s="11">
        <v>5440.0</v>
      </c>
      <c r="H167" s="11" t="s">
        <v>141</v>
      </c>
      <c r="I167" s="11" t="s">
        <v>804</v>
      </c>
      <c r="J167" s="11" t="s">
        <v>781</v>
      </c>
      <c r="K167" s="11" t="s">
        <v>798</v>
      </c>
      <c r="L167" s="14"/>
      <c r="M167" s="15"/>
      <c r="N167" s="16"/>
      <c r="O167" s="16"/>
    </row>
    <row r="168" ht="22.5" customHeight="1">
      <c r="A168" s="10" t="str">
        <f t="shared" si="1"/>
        <v>12/2025</v>
      </c>
      <c r="B168" s="10">
        <v>46001.59224115741</v>
      </c>
      <c r="C168" s="11" t="s">
        <v>169</v>
      </c>
      <c r="D168" s="11" t="s">
        <v>805</v>
      </c>
      <c r="E168" s="12" t="s">
        <v>806</v>
      </c>
      <c r="F168" s="11" t="s">
        <v>404</v>
      </c>
      <c r="G168" s="11" t="s">
        <v>807</v>
      </c>
      <c r="H168" s="11" t="s">
        <v>44</v>
      </c>
      <c r="I168" s="11" t="s">
        <v>808</v>
      </c>
      <c r="J168" s="11" t="s">
        <v>809</v>
      </c>
      <c r="K168" s="11">
        <v>1.85825082200006E14</v>
      </c>
      <c r="L168" s="14"/>
      <c r="M168" s="21" t="s">
        <v>380</v>
      </c>
      <c r="N168" s="9"/>
      <c r="O168" s="9"/>
    </row>
    <row r="169" ht="22.5" customHeight="1">
      <c r="A169" s="10" t="str">
        <f t="shared" si="1"/>
        <v>12/2025</v>
      </c>
      <c r="B169" s="10">
        <v>46001.76107717592</v>
      </c>
      <c r="C169" s="11" t="s">
        <v>320</v>
      </c>
      <c r="D169" s="11" t="s">
        <v>810</v>
      </c>
      <c r="E169" s="12" t="s">
        <v>811</v>
      </c>
      <c r="F169" s="11" t="s">
        <v>812</v>
      </c>
      <c r="G169" s="11">
        <v>5676.0</v>
      </c>
      <c r="H169" s="11" t="s">
        <v>20</v>
      </c>
      <c r="I169" s="11" t="s">
        <v>813</v>
      </c>
      <c r="J169" s="11" t="s">
        <v>814</v>
      </c>
      <c r="K169" s="11">
        <v>1.84825082100221E14</v>
      </c>
      <c r="L169" s="14"/>
      <c r="M169" s="15"/>
      <c r="N169" s="16"/>
      <c r="O169" s="16"/>
    </row>
    <row r="170" ht="22.5" customHeight="1">
      <c r="A170" s="10" t="str">
        <f t="shared" si="1"/>
        <v>12/2025</v>
      </c>
      <c r="B170" s="10">
        <v>46001.800432766206</v>
      </c>
      <c r="C170" s="11" t="s">
        <v>386</v>
      </c>
      <c r="D170" s="11" t="s">
        <v>724</v>
      </c>
      <c r="E170" s="12" t="s">
        <v>725</v>
      </c>
      <c r="F170" s="11" t="s">
        <v>18</v>
      </c>
      <c r="G170" s="11" t="s">
        <v>589</v>
      </c>
      <c r="H170" s="11" t="s">
        <v>721</v>
      </c>
      <c r="I170" s="11" t="s">
        <v>815</v>
      </c>
      <c r="J170" s="11" t="s">
        <v>816</v>
      </c>
      <c r="K170" s="11">
        <v>1.8582508220002E14</v>
      </c>
      <c r="L170" s="14"/>
      <c r="M170" s="15"/>
      <c r="N170" s="16"/>
      <c r="O170" s="16"/>
    </row>
    <row r="171" ht="22.5" customHeight="1">
      <c r="A171" s="10" t="str">
        <f t="shared" si="1"/>
        <v>12/2025</v>
      </c>
      <c r="B171" s="10">
        <v>46001.803006076385</v>
      </c>
      <c r="C171" s="11" t="s">
        <v>386</v>
      </c>
      <c r="D171" s="11" t="s">
        <v>428</v>
      </c>
      <c r="E171" s="12" t="s">
        <v>817</v>
      </c>
      <c r="F171" s="11" t="s">
        <v>18</v>
      </c>
      <c r="G171" s="11" t="s">
        <v>703</v>
      </c>
      <c r="H171" s="11" t="s">
        <v>425</v>
      </c>
      <c r="I171" s="11" t="s">
        <v>818</v>
      </c>
      <c r="J171" s="11" t="s">
        <v>819</v>
      </c>
      <c r="K171" s="11">
        <v>8.92820072100143E14</v>
      </c>
      <c r="L171" s="14"/>
      <c r="M171" s="15"/>
      <c r="N171" s="16"/>
      <c r="O171" s="16"/>
    </row>
    <row r="172" ht="22.5" customHeight="1">
      <c r="A172" s="10" t="str">
        <f t="shared" si="1"/>
        <v>12/2025</v>
      </c>
      <c r="B172" s="10">
        <v>46002.46360743056</v>
      </c>
      <c r="C172" s="11" t="s">
        <v>386</v>
      </c>
      <c r="D172" s="11" t="s">
        <v>147</v>
      </c>
      <c r="E172" s="12" t="s">
        <v>820</v>
      </c>
      <c r="F172" s="11" t="s">
        <v>18</v>
      </c>
      <c r="G172" s="11" t="s">
        <v>250</v>
      </c>
      <c r="H172" s="11" t="s">
        <v>36</v>
      </c>
      <c r="I172" s="11" t="s">
        <v>821</v>
      </c>
      <c r="J172" s="11" t="s">
        <v>822</v>
      </c>
      <c r="K172" s="11">
        <v>1.39824091100116E14</v>
      </c>
      <c r="L172" s="14"/>
      <c r="M172" s="15"/>
      <c r="N172" s="16"/>
      <c r="O172" s="16"/>
    </row>
    <row r="173" ht="22.5" customHeight="1">
      <c r="A173" s="10" t="str">
        <f t="shared" si="1"/>
        <v>12/2025</v>
      </c>
      <c r="B173" s="10">
        <v>46002.65510096065</v>
      </c>
      <c r="C173" s="11" t="s">
        <v>320</v>
      </c>
      <c r="D173" s="11" t="s">
        <v>823</v>
      </c>
      <c r="E173" s="12" t="s">
        <v>824</v>
      </c>
      <c r="F173" s="11" t="s">
        <v>118</v>
      </c>
      <c r="G173" s="11">
        <v>5676.0</v>
      </c>
      <c r="H173" s="11" t="s">
        <v>44</v>
      </c>
      <c r="I173" s="11" t="s">
        <v>825</v>
      </c>
      <c r="J173" s="11" t="s">
        <v>826</v>
      </c>
      <c r="K173" s="11">
        <v>1.84825082100006E14</v>
      </c>
      <c r="L173" s="14"/>
      <c r="M173" s="15"/>
      <c r="N173" s="16"/>
      <c r="O173" s="16"/>
    </row>
    <row r="174" ht="22.5" customHeight="1">
      <c r="A174" s="10" t="str">
        <f t="shared" si="1"/>
        <v>12/2025</v>
      </c>
      <c r="B174" s="10">
        <v>46002.801781863425</v>
      </c>
      <c r="C174" s="11" t="s">
        <v>386</v>
      </c>
      <c r="D174" s="11" t="s">
        <v>72</v>
      </c>
      <c r="E174" s="12" t="s">
        <v>827</v>
      </c>
      <c r="F174" s="11" t="s">
        <v>18</v>
      </c>
      <c r="G174" s="11" t="s">
        <v>250</v>
      </c>
      <c r="H174" s="11" t="s">
        <v>36</v>
      </c>
      <c r="I174" s="13" t="s">
        <v>828</v>
      </c>
      <c r="J174" s="11" t="s">
        <v>829</v>
      </c>
      <c r="K174" s="11">
        <v>1.39823091200138E14</v>
      </c>
      <c r="L174" s="14"/>
      <c r="M174" s="15"/>
      <c r="N174" s="16"/>
      <c r="O174" s="16"/>
    </row>
    <row r="175" ht="22.5" customHeight="1">
      <c r="A175" s="10" t="str">
        <f t="shared" si="1"/>
        <v>12/2025</v>
      </c>
      <c r="B175" s="10">
        <v>46002.80434883102</v>
      </c>
      <c r="C175" s="11" t="s">
        <v>386</v>
      </c>
      <c r="D175" s="11" t="s">
        <v>830</v>
      </c>
      <c r="E175" s="12" t="s">
        <v>831</v>
      </c>
      <c r="F175" s="11" t="s">
        <v>18</v>
      </c>
      <c r="G175" s="11" t="s">
        <v>832</v>
      </c>
      <c r="H175" s="11" t="s">
        <v>36</v>
      </c>
      <c r="I175" s="11" t="s">
        <v>833</v>
      </c>
      <c r="J175" s="11" t="s">
        <v>834</v>
      </c>
      <c r="K175" s="11">
        <v>1.19821040600408E14</v>
      </c>
      <c r="L175" s="14"/>
      <c r="M175" s="15"/>
      <c r="N175" s="16"/>
      <c r="O175" s="16"/>
    </row>
    <row r="176" ht="22.5" customHeight="1">
      <c r="A176" s="10" t="str">
        <f t="shared" si="1"/>
        <v>12/2025</v>
      </c>
      <c r="B176" s="10">
        <v>46003.73280591435</v>
      </c>
      <c r="C176" s="11" t="s">
        <v>115</v>
      </c>
      <c r="D176" s="11" t="s">
        <v>595</v>
      </c>
      <c r="E176" s="12" t="s">
        <v>835</v>
      </c>
      <c r="F176" s="11" t="s">
        <v>118</v>
      </c>
      <c r="G176" s="11">
        <v>5440.0</v>
      </c>
      <c r="H176" s="11" t="s">
        <v>36</v>
      </c>
      <c r="I176" s="11" t="s">
        <v>836</v>
      </c>
      <c r="J176" s="11" t="s">
        <v>781</v>
      </c>
      <c r="K176" s="11" t="s">
        <v>122</v>
      </c>
      <c r="L176" s="14"/>
      <c r="M176" s="15"/>
      <c r="N176" s="16"/>
      <c r="O176" s="16"/>
    </row>
    <row r="177" ht="22.5" customHeight="1">
      <c r="A177" s="10" t="str">
        <f t="shared" si="1"/>
        <v>12/2025</v>
      </c>
      <c r="B177" s="10">
        <v>46003.83546793982</v>
      </c>
      <c r="C177" s="11" t="s">
        <v>77</v>
      </c>
      <c r="D177" s="11" t="s">
        <v>670</v>
      </c>
      <c r="E177" s="12" t="s">
        <v>837</v>
      </c>
      <c r="F177" s="11" t="s">
        <v>64</v>
      </c>
      <c r="G177" s="11" t="s">
        <v>838</v>
      </c>
      <c r="H177" s="11" t="s">
        <v>20</v>
      </c>
      <c r="I177" s="17" t="s">
        <v>839</v>
      </c>
      <c r="J177" s="11" t="s">
        <v>840</v>
      </c>
      <c r="K177" s="11">
        <v>1.84825082100225E14</v>
      </c>
      <c r="L177" s="14"/>
      <c r="M177" s="15"/>
      <c r="N177" s="16"/>
      <c r="O177" s="16"/>
    </row>
    <row r="178" ht="22.5" customHeight="1">
      <c r="A178" s="10" t="str">
        <f t="shared" si="1"/>
        <v>12/2025</v>
      </c>
      <c r="B178" s="10">
        <v>46003.83923795139</v>
      </c>
      <c r="C178" s="11" t="s">
        <v>386</v>
      </c>
      <c r="D178" s="11" t="s">
        <v>841</v>
      </c>
      <c r="E178" s="12" t="s">
        <v>842</v>
      </c>
      <c r="F178" s="11" t="s">
        <v>18</v>
      </c>
      <c r="G178" s="11" t="s">
        <v>577</v>
      </c>
      <c r="H178" s="11" t="s">
        <v>20</v>
      </c>
      <c r="I178" s="11" t="s">
        <v>843</v>
      </c>
      <c r="J178" s="11" t="s">
        <v>844</v>
      </c>
      <c r="K178" s="11">
        <v>1.84825082100197E14</v>
      </c>
      <c r="L178" s="14"/>
      <c r="M178" s="15"/>
      <c r="N178" s="16"/>
      <c r="O178" s="16"/>
    </row>
    <row r="179" ht="22.5" customHeight="1">
      <c r="A179" s="10" t="str">
        <f t="shared" si="1"/>
        <v>12/2025</v>
      </c>
      <c r="B179" s="10">
        <v>46003.84201255787</v>
      </c>
      <c r="C179" s="11" t="s">
        <v>386</v>
      </c>
      <c r="D179" s="11" t="s">
        <v>845</v>
      </c>
      <c r="E179" s="12" t="s">
        <v>846</v>
      </c>
      <c r="F179" s="11" t="s">
        <v>18</v>
      </c>
      <c r="G179" s="11" t="s">
        <v>250</v>
      </c>
      <c r="H179" s="11" t="s">
        <v>36</v>
      </c>
      <c r="I179" s="11" t="s">
        <v>847</v>
      </c>
      <c r="J179" s="11" t="s">
        <v>848</v>
      </c>
      <c r="K179" s="11">
        <v>1.39823091200064E14</v>
      </c>
      <c r="L179" s="14"/>
      <c r="M179" s="15"/>
      <c r="N179" s="16"/>
      <c r="O179" s="16"/>
    </row>
    <row r="180" ht="22.5" customHeight="1">
      <c r="A180" s="10" t="str">
        <f t="shared" si="1"/>
        <v>12/2025</v>
      </c>
      <c r="B180" s="10">
        <v>46003.84394630787</v>
      </c>
      <c r="C180" s="11" t="s">
        <v>386</v>
      </c>
      <c r="D180" s="11" t="s">
        <v>327</v>
      </c>
      <c r="E180" s="12" t="s">
        <v>849</v>
      </c>
      <c r="F180" s="11" t="s">
        <v>18</v>
      </c>
      <c r="G180" s="11" t="s">
        <v>760</v>
      </c>
      <c r="H180" s="11" t="s">
        <v>36</v>
      </c>
      <c r="I180" s="11" t="s">
        <v>850</v>
      </c>
      <c r="J180" s="11" t="s">
        <v>851</v>
      </c>
      <c r="K180" s="11">
        <v>1.19821040600472E14</v>
      </c>
      <c r="L180" s="14"/>
      <c r="M180" s="15"/>
      <c r="N180" s="16"/>
      <c r="O180" s="16"/>
    </row>
    <row r="181" ht="22.5" customHeight="1">
      <c r="A181" s="10" t="str">
        <f t="shared" si="1"/>
        <v>12/2025</v>
      </c>
      <c r="B181" s="10">
        <v>46004.826720173616</v>
      </c>
      <c r="C181" s="11" t="s">
        <v>618</v>
      </c>
      <c r="D181" s="11" t="s">
        <v>852</v>
      </c>
      <c r="E181" s="12" t="s">
        <v>853</v>
      </c>
      <c r="F181" s="11" t="s">
        <v>118</v>
      </c>
      <c r="G181" s="11" t="s">
        <v>854</v>
      </c>
      <c r="H181" s="11" t="s">
        <v>44</v>
      </c>
      <c r="I181" s="11" t="s">
        <v>855</v>
      </c>
      <c r="J181" s="11" t="s">
        <v>856</v>
      </c>
      <c r="K181" s="11">
        <v>1.85825082200107E14</v>
      </c>
      <c r="L181" s="14"/>
      <c r="M181" s="15"/>
      <c r="N181" s="16"/>
      <c r="O181" s="16"/>
    </row>
    <row r="182" ht="22.5" customHeight="1">
      <c r="A182" s="10" t="str">
        <f t="shared" si="1"/>
        <v>12/2025</v>
      </c>
      <c r="B182" s="10">
        <v>46006.74817074074</v>
      </c>
      <c r="C182" s="11" t="s">
        <v>408</v>
      </c>
      <c r="D182" s="11" t="s">
        <v>857</v>
      </c>
      <c r="E182" s="12" t="s">
        <v>858</v>
      </c>
      <c r="F182" s="11" t="s">
        <v>118</v>
      </c>
      <c r="G182" s="11" t="s">
        <v>347</v>
      </c>
      <c r="H182" s="11" t="s">
        <v>36</v>
      </c>
      <c r="I182" s="11" t="s">
        <v>859</v>
      </c>
      <c r="J182" s="11" t="s">
        <v>366</v>
      </c>
      <c r="K182" s="11">
        <v>8.92824061500337E14</v>
      </c>
      <c r="L182" s="14"/>
      <c r="M182" s="21" t="s">
        <v>380</v>
      </c>
      <c r="N182" s="9"/>
      <c r="O182" s="9"/>
    </row>
    <row r="183" ht="22.5" customHeight="1">
      <c r="A183" s="10" t="str">
        <f t="shared" si="1"/>
        <v>12/2025</v>
      </c>
      <c r="B183" s="10">
        <v>46006.819514409726</v>
      </c>
      <c r="C183" s="11" t="s">
        <v>860</v>
      </c>
      <c r="D183" s="11" t="s">
        <v>861</v>
      </c>
      <c r="E183" s="13" t="s">
        <v>862</v>
      </c>
      <c r="F183" s="11" t="s">
        <v>249</v>
      </c>
      <c r="G183" s="11" t="s">
        <v>217</v>
      </c>
      <c r="H183" s="11" t="s">
        <v>20</v>
      </c>
      <c r="I183" s="11" t="s">
        <v>863</v>
      </c>
      <c r="J183" s="11" t="s">
        <v>864</v>
      </c>
      <c r="K183" s="11">
        <v>1.85825082200142E14</v>
      </c>
      <c r="L183" s="14"/>
      <c r="M183" s="15"/>
      <c r="N183" s="16"/>
      <c r="O183" s="16"/>
    </row>
    <row r="184" ht="22.5" customHeight="1">
      <c r="A184" s="10" t="str">
        <f t="shared" si="1"/>
        <v>12/2025</v>
      </c>
      <c r="B184" s="10">
        <v>46007.393744166664</v>
      </c>
      <c r="C184" s="11" t="s">
        <v>132</v>
      </c>
      <c r="D184" s="11" t="s">
        <v>865</v>
      </c>
      <c r="E184" s="12" t="s">
        <v>866</v>
      </c>
      <c r="F184" s="11" t="s">
        <v>18</v>
      </c>
      <c r="G184" s="11" t="s">
        <v>383</v>
      </c>
      <c r="H184" s="11" t="s">
        <v>36</v>
      </c>
      <c r="I184" s="11" t="s">
        <v>867</v>
      </c>
      <c r="J184" s="11" t="s">
        <v>868</v>
      </c>
      <c r="K184" s="11">
        <v>1.19821080500177E14</v>
      </c>
      <c r="L184" s="14"/>
      <c r="M184" s="15"/>
      <c r="N184" s="16"/>
      <c r="O184" s="16"/>
    </row>
    <row r="185" ht="22.5" customHeight="1">
      <c r="A185" s="10" t="str">
        <f t="shared" si="1"/>
        <v>12/2025</v>
      </c>
      <c r="B185" s="10">
        <v>46007.49567938657</v>
      </c>
      <c r="C185" s="11" t="s">
        <v>287</v>
      </c>
      <c r="D185" s="11" t="s">
        <v>869</v>
      </c>
      <c r="E185" s="12" t="s">
        <v>870</v>
      </c>
      <c r="F185" s="11" t="s">
        <v>482</v>
      </c>
      <c r="G185" s="11" t="s">
        <v>135</v>
      </c>
      <c r="H185" s="11" t="s">
        <v>871</v>
      </c>
      <c r="I185" s="11" t="s">
        <v>872</v>
      </c>
      <c r="J185" s="11" t="s">
        <v>873</v>
      </c>
      <c r="K185" s="11">
        <v>1.86825082100176E14</v>
      </c>
      <c r="L185" s="14"/>
      <c r="M185" s="15"/>
      <c r="N185" s="16"/>
      <c r="O185" s="16"/>
    </row>
    <row r="186" ht="22.5" customHeight="1">
      <c r="A186" s="10" t="str">
        <f t="shared" si="1"/>
        <v>12/2025</v>
      </c>
      <c r="B186" s="10">
        <v>46007.60600194444</v>
      </c>
      <c r="C186" s="11" t="s">
        <v>123</v>
      </c>
      <c r="D186" s="11" t="s">
        <v>874</v>
      </c>
      <c r="E186" s="12" t="s">
        <v>875</v>
      </c>
      <c r="F186" s="11" t="s">
        <v>18</v>
      </c>
      <c r="G186" s="11" t="s">
        <v>876</v>
      </c>
      <c r="H186" s="11" t="s">
        <v>36</v>
      </c>
      <c r="I186" s="11" t="s">
        <v>877</v>
      </c>
      <c r="J186" s="11" t="s">
        <v>878</v>
      </c>
      <c r="K186" s="11">
        <v>1.39822102000232E14</v>
      </c>
      <c r="L186" s="14"/>
      <c r="M186" s="15"/>
      <c r="N186" s="16"/>
      <c r="O186" s="16"/>
    </row>
    <row r="187" ht="22.5" customHeight="1">
      <c r="A187" s="10" t="str">
        <f t="shared" si="1"/>
        <v>12/2025</v>
      </c>
      <c r="B187" s="10">
        <v>46007.737797118054</v>
      </c>
      <c r="C187" s="11" t="s">
        <v>169</v>
      </c>
      <c r="D187" s="11" t="s">
        <v>744</v>
      </c>
      <c r="E187" s="12" t="s">
        <v>745</v>
      </c>
      <c r="F187" s="11" t="s">
        <v>404</v>
      </c>
      <c r="G187" s="11" t="s">
        <v>879</v>
      </c>
      <c r="H187" s="11" t="s">
        <v>44</v>
      </c>
      <c r="I187" s="11" t="s">
        <v>880</v>
      </c>
      <c r="J187" s="11" t="s">
        <v>881</v>
      </c>
      <c r="K187" s="11">
        <v>1.84825082100094E14</v>
      </c>
      <c r="L187" s="14"/>
      <c r="M187" s="21" t="s">
        <v>882</v>
      </c>
      <c r="N187" s="9"/>
      <c r="O187" s="9"/>
    </row>
    <row r="188" ht="22.5" customHeight="1">
      <c r="A188" s="10" t="str">
        <f t="shared" si="1"/>
        <v>12/2025</v>
      </c>
      <c r="B188" s="10">
        <v>46007.748150115745</v>
      </c>
      <c r="C188" s="11" t="s">
        <v>32</v>
      </c>
      <c r="D188" s="11" t="s">
        <v>883</v>
      </c>
      <c r="E188" s="12" t="s">
        <v>884</v>
      </c>
      <c r="F188" s="11" t="s">
        <v>18</v>
      </c>
      <c r="G188" s="11" t="s">
        <v>885</v>
      </c>
      <c r="H188" s="11" t="s">
        <v>36</v>
      </c>
      <c r="I188" s="11" t="s">
        <v>886</v>
      </c>
      <c r="J188" s="11" t="s">
        <v>102</v>
      </c>
      <c r="K188" s="11">
        <v>1.39824091100143E14</v>
      </c>
      <c r="L188" s="14"/>
      <c r="M188" s="15"/>
      <c r="N188" s="16"/>
      <c r="O188" s="16"/>
    </row>
    <row r="189" ht="22.5" customHeight="1">
      <c r="A189" s="10" t="str">
        <f t="shared" si="1"/>
        <v>12/2025</v>
      </c>
      <c r="B189" s="10">
        <v>46007.82846160879</v>
      </c>
      <c r="C189" s="11" t="s">
        <v>386</v>
      </c>
      <c r="D189" s="11" t="s">
        <v>887</v>
      </c>
      <c r="E189" s="12" t="s">
        <v>888</v>
      </c>
      <c r="F189" s="11" t="s">
        <v>18</v>
      </c>
      <c r="G189" s="11" t="s">
        <v>339</v>
      </c>
      <c r="H189" s="11" t="s">
        <v>44</v>
      </c>
      <c r="I189" s="11" t="s">
        <v>889</v>
      </c>
      <c r="J189" s="11" t="s">
        <v>890</v>
      </c>
      <c r="K189" s="11">
        <v>1.86825082100187E14</v>
      </c>
      <c r="L189" s="14"/>
      <c r="M189" s="15"/>
      <c r="N189" s="16"/>
      <c r="O189" s="16"/>
    </row>
    <row r="190" ht="22.5" customHeight="1">
      <c r="A190" s="10" t="str">
        <f t="shared" si="1"/>
        <v>12/2025</v>
      </c>
      <c r="B190" s="10">
        <v>46007.8296772801</v>
      </c>
      <c r="C190" s="11" t="s">
        <v>115</v>
      </c>
      <c r="D190" s="11" t="s">
        <v>883</v>
      </c>
      <c r="E190" s="12" t="s">
        <v>891</v>
      </c>
      <c r="F190" s="11" t="s">
        <v>118</v>
      </c>
      <c r="G190" s="11" t="s">
        <v>129</v>
      </c>
      <c r="H190" s="11" t="s">
        <v>36</v>
      </c>
      <c r="I190" s="11" t="s">
        <v>892</v>
      </c>
      <c r="J190" s="11" t="s">
        <v>893</v>
      </c>
      <c r="K190" s="11" t="s">
        <v>122</v>
      </c>
      <c r="L190" s="14"/>
      <c r="M190" s="15"/>
      <c r="N190" s="16"/>
      <c r="O190" s="16"/>
    </row>
    <row r="191" ht="22.5" customHeight="1">
      <c r="A191" s="10" t="str">
        <f t="shared" si="1"/>
        <v>12/2025</v>
      </c>
      <c r="B191" s="10">
        <v>46007.83023103009</v>
      </c>
      <c r="C191" s="11" t="s">
        <v>386</v>
      </c>
      <c r="D191" s="11" t="s">
        <v>894</v>
      </c>
      <c r="E191" s="12" t="s">
        <v>895</v>
      </c>
      <c r="F191" s="11" t="s">
        <v>18</v>
      </c>
      <c r="G191" s="11" t="s">
        <v>589</v>
      </c>
      <c r="H191" s="11" t="s">
        <v>44</v>
      </c>
      <c r="I191" s="11" t="s">
        <v>896</v>
      </c>
      <c r="J191" s="11" t="s">
        <v>890</v>
      </c>
      <c r="K191" s="11">
        <v>1.85825082200035E14</v>
      </c>
      <c r="L191" s="14"/>
      <c r="M191" s="15"/>
      <c r="N191" s="16"/>
      <c r="O191" s="16"/>
    </row>
    <row r="192" ht="22.5" customHeight="1">
      <c r="A192" s="10" t="str">
        <f t="shared" si="1"/>
        <v>12/2025</v>
      </c>
      <c r="B192" s="10">
        <v>46007.83190942129</v>
      </c>
      <c r="C192" s="11" t="s">
        <v>386</v>
      </c>
      <c r="D192" s="11" t="s">
        <v>897</v>
      </c>
      <c r="E192" s="12" t="s">
        <v>898</v>
      </c>
      <c r="F192" s="11" t="s">
        <v>18</v>
      </c>
      <c r="G192" s="11" t="s">
        <v>250</v>
      </c>
      <c r="H192" s="11" t="s">
        <v>36</v>
      </c>
      <c r="I192" s="11" t="s">
        <v>899</v>
      </c>
      <c r="J192" s="11" t="s">
        <v>900</v>
      </c>
      <c r="K192" s="11">
        <v>1.39823091200393E14</v>
      </c>
      <c r="L192" s="14"/>
      <c r="M192" s="15"/>
      <c r="N192" s="16"/>
      <c r="O192" s="16"/>
    </row>
    <row r="193" ht="22.5" customHeight="1">
      <c r="A193" s="10" t="str">
        <f t="shared" si="1"/>
        <v>12/2025</v>
      </c>
      <c r="B193" s="10">
        <v>46007.83490083333</v>
      </c>
      <c r="C193" s="11" t="s">
        <v>386</v>
      </c>
      <c r="D193" s="11" t="s">
        <v>240</v>
      </c>
      <c r="E193" s="12" t="s">
        <v>901</v>
      </c>
      <c r="F193" s="11" t="s">
        <v>18</v>
      </c>
      <c r="G193" s="11" t="s">
        <v>250</v>
      </c>
      <c r="H193" s="11" t="s">
        <v>537</v>
      </c>
      <c r="I193" s="11" t="s">
        <v>902</v>
      </c>
      <c r="J193" s="11" t="s">
        <v>903</v>
      </c>
      <c r="K193" s="11" t="s">
        <v>122</v>
      </c>
      <c r="L193" s="14"/>
      <c r="M193" s="15"/>
      <c r="N193" s="16"/>
      <c r="O193" s="16"/>
    </row>
    <row r="194" ht="22.5" customHeight="1">
      <c r="A194" s="10" t="str">
        <f t="shared" si="1"/>
        <v>12/2025</v>
      </c>
      <c r="B194" s="10">
        <v>46008.121079537035</v>
      </c>
      <c r="C194" s="11" t="s">
        <v>103</v>
      </c>
      <c r="D194" s="11" t="s">
        <v>904</v>
      </c>
      <c r="E194" s="12" t="s">
        <v>905</v>
      </c>
      <c r="F194" s="11" t="s">
        <v>106</v>
      </c>
      <c r="G194" s="11" t="s">
        <v>906</v>
      </c>
      <c r="H194" s="11" t="s">
        <v>36</v>
      </c>
      <c r="I194" s="13" t="s">
        <v>907</v>
      </c>
      <c r="J194" s="11" t="s">
        <v>908</v>
      </c>
      <c r="K194" s="11">
        <v>1.39824092700257E14</v>
      </c>
      <c r="L194" s="14"/>
      <c r="M194" s="15"/>
      <c r="N194" s="16"/>
      <c r="O194" s="16"/>
    </row>
    <row r="195" ht="22.5" customHeight="1">
      <c r="A195" s="10" t="str">
        <f t="shared" si="1"/>
        <v>12/2025</v>
      </c>
      <c r="B195" s="10">
        <v>46008.865018958335</v>
      </c>
      <c r="C195" s="11" t="s">
        <v>386</v>
      </c>
      <c r="D195" s="11" t="s">
        <v>909</v>
      </c>
      <c r="E195" s="12" t="s">
        <v>910</v>
      </c>
      <c r="F195" s="11" t="s">
        <v>18</v>
      </c>
      <c r="G195" s="11" t="s">
        <v>339</v>
      </c>
      <c r="H195" s="11" t="s">
        <v>20</v>
      </c>
      <c r="I195" s="11" t="s">
        <v>911</v>
      </c>
      <c r="J195" s="11" t="s">
        <v>912</v>
      </c>
      <c r="K195" s="11">
        <v>1.8682508210079E13</v>
      </c>
      <c r="L195" s="14"/>
      <c r="M195" s="15"/>
      <c r="N195" s="16"/>
      <c r="O195" s="16"/>
    </row>
    <row r="196" ht="22.5" customHeight="1">
      <c r="A196" s="10" t="str">
        <f t="shared" si="1"/>
        <v>12/2025</v>
      </c>
      <c r="B196" s="10">
        <v>46008.867008518515</v>
      </c>
      <c r="C196" s="11" t="s">
        <v>386</v>
      </c>
      <c r="D196" s="11" t="s">
        <v>913</v>
      </c>
      <c r="E196" s="12" t="s">
        <v>914</v>
      </c>
      <c r="F196" s="11" t="s">
        <v>18</v>
      </c>
      <c r="G196" s="11" t="s">
        <v>703</v>
      </c>
      <c r="H196" s="11" t="s">
        <v>36</v>
      </c>
      <c r="I196" s="11" t="s">
        <v>915</v>
      </c>
      <c r="J196" s="11" t="s">
        <v>916</v>
      </c>
      <c r="K196" s="11">
        <v>8.92824061500183E14</v>
      </c>
      <c r="L196" s="14"/>
      <c r="M196" s="15"/>
      <c r="N196" s="16"/>
      <c r="O196" s="16"/>
    </row>
    <row r="197" ht="22.5" customHeight="1">
      <c r="A197" s="10" t="str">
        <f t="shared" si="1"/>
        <v>12/2025</v>
      </c>
      <c r="B197" s="10">
        <v>46009.44113774305</v>
      </c>
      <c r="C197" s="11" t="s">
        <v>386</v>
      </c>
      <c r="D197" s="11" t="s">
        <v>794</v>
      </c>
      <c r="E197" s="12" t="s">
        <v>866</v>
      </c>
      <c r="F197" s="11" t="s">
        <v>18</v>
      </c>
      <c r="G197" s="11" t="s">
        <v>760</v>
      </c>
      <c r="H197" s="11" t="s">
        <v>36</v>
      </c>
      <c r="I197" s="11" t="s">
        <v>917</v>
      </c>
      <c r="J197" s="11" t="s">
        <v>918</v>
      </c>
      <c r="K197" s="11">
        <v>1.19821080500177E14</v>
      </c>
      <c r="L197" s="14"/>
      <c r="M197" s="15"/>
      <c r="N197" s="16"/>
      <c r="O197" s="16"/>
    </row>
    <row r="198" ht="22.5" customHeight="1">
      <c r="A198" s="10" t="str">
        <f t="shared" si="1"/>
        <v>12/2025</v>
      </c>
      <c r="B198" s="10">
        <v>46009.46253069444</v>
      </c>
      <c r="C198" s="11" t="s">
        <v>77</v>
      </c>
      <c r="D198" s="11" t="s">
        <v>919</v>
      </c>
      <c r="E198" s="12" t="s">
        <v>920</v>
      </c>
      <c r="F198" s="11" t="s">
        <v>64</v>
      </c>
      <c r="G198" s="11" t="s">
        <v>921</v>
      </c>
      <c r="H198" s="11" t="s">
        <v>20</v>
      </c>
      <c r="I198" s="17" t="s">
        <v>922</v>
      </c>
      <c r="J198" s="11" t="s">
        <v>923</v>
      </c>
      <c r="K198" s="11">
        <v>1.85825082200037E14</v>
      </c>
      <c r="L198" s="14"/>
      <c r="M198" s="15"/>
      <c r="N198" s="16"/>
      <c r="O198" s="16"/>
    </row>
    <row r="199" ht="22.5" customHeight="1">
      <c r="A199" s="10" t="str">
        <f t="shared" si="1"/>
        <v>12/2025</v>
      </c>
      <c r="B199" s="10">
        <v>46010.37827587963</v>
      </c>
      <c r="C199" s="11" t="s">
        <v>115</v>
      </c>
      <c r="D199" s="11" t="s">
        <v>924</v>
      </c>
      <c r="E199" s="12" t="s">
        <v>925</v>
      </c>
      <c r="F199" s="11" t="s">
        <v>118</v>
      </c>
      <c r="G199" s="11" t="s">
        <v>926</v>
      </c>
      <c r="H199" s="11" t="s">
        <v>36</v>
      </c>
      <c r="I199" s="11" t="s">
        <v>927</v>
      </c>
      <c r="J199" s="11" t="s">
        <v>928</v>
      </c>
      <c r="K199" s="11" t="s">
        <v>122</v>
      </c>
      <c r="L199" s="14"/>
      <c r="M199" s="15"/>
      <c r="N199" s="16"/>
      <c r="O199" s="16"/>
    </row>
    <row r="200" ht="22.5" customHeight="1">
      <c r="A200" s="10" t="str">
        <f t="shared" si="1"/>
        <v>12/2025</v>
      </c>
      <c r="B200" s="10">
        <v>46010.404789699074</v>
      </c>
      <c r="C200" s="11" t="s">
        <v>132</v>
      </c>
      <c r="D200" s="11" t="s">
        <v>929</v>
      </c>
      <c r="E200" s="12" t="s">
        <v>930</v>
      </c>
      <c r="F200" s="11" t="s">
        <v>18</v>
      </c>
      <c r="G200" s="11" t="s">
        <v>931</v>
      </c>
      <c r="H200" s="11" t="s">
        <v>36</v>
      </c>
      <c r="I200" s="11" t="s">
        <v>932</v>
      </c>
      <c r="J200" s="11" t="s">
        <v>933</v>
      </c>
      <c r="K200" s="11">
        <v>1.39822102000239E14</v>
      </c>
      <c r="L200" s="14"/>
      <c r="M200" s="15"/>
      <c r="N200" s="16"/>
      <c r="O200" s="16"/>
    </row>
    <row r="201" ht="22.5" customHeight="1">
      <c r="A201" s="10" t="str">
        <f t="shared" si="1"/>
        <v>12/2025</v>
      </c>
      <c r="B201" s="10">
        <v>46010.72055923611</v>
      </c>
      <c r="C201" s="11" t="s">
        <v>386</v>
      </c>
      <c r="D201" s="11" t="s">
        <v>52</v>
      </c>
      <c r="E201" s="12" t="s">
        <v>934</v>
      </c>
      <c r="F201" s="11" t="s">
        <v>18</v>
      </c>
      <c r="G201" s="11" t="s">
        <v>250</v>
      </c>
      <c r="H201" s="11" t="s">
        <v>36</v>
      </c>
      <c r="I201" s="11" t="s">
        <v>935</v>
      </c>
      <c r="J201" s="11" t="s">
        <v>781</v>
      </c>
      <c r="K201" s="11">
        <v>1.39824092700454E14</v>
      </c>
      <c r="L201" s="14"/>
      <c r="M201" s="15"/>
      <c r="N201" s="16"/>
      <c r="O201" s="16"/>
    </row>
    <row r="202" ht="22.5" customHeight="1">
      <c r="A202" s="10" t="str">
        <f t="shared" si="1"/>
        <v>12/2025</v>
      </c>
      <c r="B202" s="10">
        <v>46010.72519037037</v>
      </c>
      <c r="C202" s="11" t="s">
        <v>386</v>
      </c>
      <c r="D202" s="11" t="s">
        <v>936</v>
      </c>
      <c r="E202" s="12" t="s">
        <v>937</v>
      </c>
      <c r="F202" s="11" t="s">
        <v>18</v>
      </c>
      <c r="G202" s="11" t="s">
        <v>339</v>
      </c>
      <c r="H202" s="11" t="s">
        <v>20</v>
      </c>
      <c r="I202" s="13" t="s">
        <v>938</v>
      </c>
      <c r="J202" s="11" t="s">
        <v>939</v>
      </c>
      <c r="K202" s="11">
        <v>1.86825082100101E14</v>
      </c>
      <c r="L202" s="14"/>
      <c r="M202" s="15"/>
      <c r="N202" s="16"/>
      <c r="O202" s="16"/>
    </row>
    <row r="203" ht="22.5" customHeight="1">
      <c r="A203" s="10" t="str">
        <f t="shared" si="1"/>
        <v>12/2025</v>
      </c>
      <c r="B203" s="10">
        <v>46012.49017484953</v>
      </c>
      <c r="C203" s="11" t="s">
        <v>386</v>
      </c>
      <c r="D203" s="11" t="s">
        <v>940</v>
      </c>
      <c r="E203" s="12" t="s">
        <v>689</v>
      </c>
      <c r="F203" s="11" t="s">
        <v>18</v>
      </c>
      <c r="G203" s="11" t="s">
        <v>941</v>
      </c>
      <c r="H203" s="11" t="s">
        <v>20</v>
      </c>
      <c r="I203" s="11" t="s">
        <v>942</v>
      </c>
      <c r="J203" s="11" t="s">
        <v>943</v>
      </c>
      <c r="K203" s="11">
        <v>1.8682508210003E14</v>
      </c>
      <c r="L203" s="14"/>
      <c r="M203" s="15"/>
      <c r="N203" s="16"/>
      <c r="O203" s="16"/>
    </row>
    <row r="204" ht="22.5" customHeight="1">
      <c r="A204" s="10" t="str">
        <f t="shared" si="1"/>
        <v>12/2025</v>
      </c>
      <c r="B204" s="10">
        <v>46012.49260158565</v>
      </c>
      <c r="C204" s="11" t="s">
        <v>386</v>
      </c>
      <c r="D204" s="11" t="s">
        <v>940</v>
      </c>
      <c r="E204" s="12" t="s">
        <v>689</v>
      </c>
      <c r="F204" s="11" t="s">
        <v>18</v>
      </c>
      <c r="G204" s="11" t="s">
        <v>339</v>
      </c>
      <c r="H204" s="11" t="s">
        <v>20</v>
      </c>
      <c r="I204" s="11" t="s">
        <v>944</v>
      </c>
      <c r="J204" s="11" t="s">
        <v>945</v>
      </c>
      <c r="K204" s="11">
        <v>1.86825082100034E14</v>
      </c>
      <c r="L204" s="14"/>
      <c r="M204" s="15"/>
      <c r="N204" s="16"/>
      <c r="O204" s="16"/>
    </row>
    <row r="205" ht="22.5" customHeight="1">
      <c r="A205" s="10" t="str">
        <f t="shared" si="1"/>
        <v>12/2025</v>
      </c>
      <c r="B205" s="10">
        <v>46012.54332060185</v>
      </c>
      <c r="C205" s="11" t="s">
        <v>123</v>
      </c>
      <c r="D205" s="11" t="s">
        <v>946</v>
      </c>
      <c r="E205" s="12" t="s">
        <v>947</v>
      </c>
      <c r="F205" s="11" t="s">
        <v>18</v>
      </c>
      <c r="G205" s="11" t="s">
        <v>948</v>
      </c>
      <c r="H205" s="11" t="s">
        <v>20</v>
      </c>
      <c r="I205" s="11" t="s">
        <v>949</v>
      </c>
      <c r="J205" s="11" t="s">
        <v>950</v>
      </c>
      <c r="K205" s="11">
        <v>1.85825082200095E14</v>
      </c>
      <c r="L205" s="14"/>
      <c r="M205" s="15"/>
      <c r="N205" s="16"/>
      <c r="O205" s="16"/>
    </row>
    <row r="206" ht="22.5" customHeight="1">
      <c r="A206" s="10" t="str">
        <f t="shared" si="1"/>
        <v>12/2025</v>
      </c>
      <c r="B206" s="10">
        <v>46012.61399909722</v>
      </c>
      <c r="C206" s="11" t="s">
        <v>115</v>
      </c>
      <c r="D206" s="11" t="s">
        <v>951</v>
      </c>
      <c r="E206" s="12" t="s">
        <v>952</v>
      </c>
      <c r="F206" s="11" t="s">
        <v>118</v>
      </c>
      <c r="G206" s="11">
        <v>5440.0</v>
      </c>
      <c r="H206" s="11" t="s">
        <v>141</v>
      </c>
      <c r="I206" s="11" t="s">
        <v>953</v>
      </c>
      <c r="J206" s="11" t="s">
        <v>954</v>
      </c>
      <c r="K206" s="11" t="s">
        <v>122</v>
      </c>
      <c r="L206" s="14"/>
      <c r="M206" s="15"/>
      <c r="N206" s="16"/>
      <c r="O206" s="16"/>
    </row>
    <row r="207" ht="22.5" customHeight="1">
      <c r="A207" s="10" t="str">
        <f t="shared" si="1"/>
        <v>12/2025</v>
      </c>
      <c r="B207" s="10">
        <v>46012.61567811343</v>
      </c>
      <c r="C207" s="11" t="s">
        <v>115</v>
      </c>
      <c r="D207" s="11" t="s">
        <v>955</v>
      </c>
      <c r="E207" s="12" t="s">
        <v>956</v>
      </c>
      <c r="F207" s="11" t="s">
        <v>118</v>
      </c>
      <c r="G207" s="11">
        <v>5640.0</v>
      </c>
      <c r="H207" s="11" t="s">
        <v>36</v>
      </c>
      <c r="I207" s="13" t="s">
        <v>957</v>
      </c>
      <c r="J207" s="11" t="s">
        <v>781</v>
      </c>
      <c r="K207" s="11" t="s">
        <v>122</v>
      </c>
      <c r="L207" s="14"/>
      <c r="M207" s="15"/>
      <c r="N207" s="16"/>
      <c r="O207" s="16"/>
    </row>
    <row r="208" ht="22.5" customHeight="1">
      <c r="A208" s="10" t="str">
        <f t="shared" si="1"/>
        <v>12/2025</v>
      </c>
      <c r="B208" s="10">
        <v>46012.61717599537</v>
      </c>
      <c r="C208" s="11" t="s">
        <v>115</v>
      </c>
      <c r="D208" s="11" t="s">
        <v>958</v>
      </c>
      <c r="E208" s="12" t="s">
        <v>959</v>
      </c>
      <c r="F208" s="11" t="s">
        <v>118</v>
      </c>
      <c r="G208" s="11">
        <v>5440.0</v>
      </c>
      <c r="H208" s="11" t="s">
        <v>141</v>
      </c>
      <c r="I208" s="17" t="s">
        <v>960</v>
      </c>
      <c r="J208" s="11" t="s">
        <v>961</v>
      </c>
      <c r="K208" s="11" t="s">
        <v>122</v>
      </c>
      <c r="L208" s="14"/>
      <c r="M208" s="15"/>
      <c r="N208" s="16"/>
      <c r="O208" s="16"/>
    </row>
    <row r="209" ht="22.5" customHeight="1">
      <c r="A209" s="10" t="str">
        <f t="shared" si="1"/>
        <v>12/2025</v>
      </c>
      <c r="B209" s="10">
        <v>46012.618217905096</v>
      </c>
      <c r="C209" s="11" t="s">
        <v>115</v>
      </c>
      <c r="D209" s="11" t="s">
        <v>962</v>
      </c>
      <c r="E209" s="12" t="s">
        <v>963</v>
      </c>
      <c r="F209" s="11" t="s">
        <v>118</v>
      </c>
      <c r="G209" s="11">
        <v>5440.0</v>
      </c>
      <c r="H209" s="11" t="s">
        <v>36</v>
      </c>
      <c r="I209" s="11" t="s">
        <v>964</v>
      </c>
      <c r="J209" s="11" t="s">
        <v>965</v>
      </c>
      <c r="K209" s="11" t="s">
        <v>122</v>
      </c>
      <c r="L209" s="14"/>
      <c r="M209" s="15"/>
      <c r="N209" s="16"/>
      <c r="O209" s="16"/>
    </row>
    <row r="210" ht="22.5" customHeight="1">
      <c r="A210" s="10" t="str">
        <f t="shared" si="1"/>
        <v>12/2025</v>
      </c>
      <c r="B210" s="10">
        <v>46014.43531256945</v>
      </c>
      <c r="C210" s="11" t="s">
        <v>618</v>
      </c>
      <c r="D210" s="11" t="s">
        <v>966</v>
      </c>
      <c r="E210" s="12" t="s">
        <v>967</v>
      </c>
      <c r="F210" s="11" t="s">
        <v>118</v>
      </c>
      <c r="G210" s="11" t="s">
        <v>968</v>
      </c>
      <c r="H210" s="11" t="s">
        <v>36</v>
      </c>
      <c r="I210" s="11" t="s">
        <v>969</v>
      </c>
      <c r="J210" s="11" t="s">
        <v>970</v>
      </c>
      <c r="K210" s="11">
        <v>1.19823021300053E14</v>
      </c>
      <c r="L210" s="14"/>
      <c r="M210" s="15"/>
      <c r="N210" s="16"/>
      <c r="O210" s="16"/>
    </row>
    <row r="211" ht="22.5" customHeight="1">
      <c r="A211" s="10" t="str">
        <f t="shared" si="1"/>
        <v>12/2025</v>
      </c>
      <c r="B211" s="10">
        <v>46014.86818644676</v>
      </c>
      <c r="C211" s="11" t="s">
        <v>386</v>
      </c>
      <c r="D211" s="11" t="s">
        <v>971</v>
      </c>
      <c r="E211" s="12" t="s">
        <v>972</v>
      </c>
      <c r="F211" s="11" t="s">
        <v>18</v>
      </c>
      <c r="G211" s="11" t="s">
        <v>568</v>
      </c>
      <c r="H211" s="11" t="s">
        <v>36</v>
      </c>
      <c r="I211" s="11" t="s">
        <v>973</v>
      </c>
      <c r="J211" s="11" t="s">
        <v>974</v>
      </c>
      <c r="K211" s="11">
        <v>1.19823072500115E14</v>
      </c>
      <c r="L211" s="14"/>
      <c r="M211" s="15"/>
      <c r="N211" s="16"/>
      <c r="O211" s="16"/>
    </row>
    <row r="212" ht="22.5" customHeight="1">
      <c r="A212" s="10" t="str">
        <f t="shared" si="1"/>
        <v>12/2025</v>
      </c>
      <c r="B212" s="10">
        <v>46014.87161824074</v>
      </c>
      <c r="C212" s="11" t="s">
        <v>386</v>
      </c>
      <c r="D212" s="11" t="s">
        <v>975</v>
      </c>
      <c r="E212" s="11" t="s">
        <v>976</v>
      </c>
      <c r="F212" s="11" t="s">
        <v>18</v>
      </c>
      <c r="G212" s="11" t="s">
        <v>977</v>
      </c>
      <c r="H212" s="11" t="s">
        <v>20</v>
      </c>
      <c r="I212" s="11" t="s">
        <v>978</v>
      </c>
      <c r="J212" s="11" t="s">
        <v>979</v>
      </c>
      <c r="K212" s="11">
        <v>1.86825082100049E14</v>
      </c>
      <c r="L212" s="14"/>
      <c r="M212" s="15"/>
      <c r="N212" s="16"/>
      <c r="O212" s="16"/>
    </row>
    <row r="213" ht="22.5" customHeight="1">
      <c r="A213" s="10" t="str">
        <f t="shared" si="1"/>
        <v>12/2025</v>
      </c>
      <c r="B213" s="10">
        <v>46014.87452033565</v>
      </c>
      <c r="C213" s="11" t="s">
        <v>386</v>
      </c>
      <c r="D213" s="11" t="s">
        <v>980</v>
      </c>
      <c r="E213" s="12" t="s">
        <v>981</v>
      </c>
      <c r="F213" s="11" t="s">
        <v>18</v>
      </c>
      <c r="G213" s="11" t="s">
        <v>589</v>
      </c>
      <c r="H213" s="11" t="s">
        <v>20</v>
      </c>
      <c r="I213" s="11" t="s">
        <v>982</v>
      </c>
      <c r="J213" s="11" t="s">
        <v>983</v>
      </c>
      <c r="K213" s="11">
        <v>1.85825082200082E14</v>
      </c>
      <c r="L213" s="14"/>
      <c r="M213" s="15"/>
      <c r="N213" s="16"/>
      <c r="O213" s="16"/>
    </row>
    <row r="214" ht="22.5" customHeight="1">
      <c r="A214" s="10" t="str">
        <f t="shared" si="1"/>
        <v>12/2025</v>
      </c>
      <c r="B214" s="10">
        <v>46014.87605328704</v>
      </c>
      <c r="C214" s="11" t="s">
        <v>386</v>
      </c>
      <c r="D214" s="11" t="s">
        <v>984</v>
      </c>
      <c r="E214" s="12" t="s">
        <v>985</v>
      </c>
      <c r="F214" s="11" t="s">
        <v>18</v>
      </c>
      <c r="G214" s="11" t="s">
        <v>250</v>
      </c>
      <c r="H214" s="11" t="s">
        <v>141</v>
      </c>
      <c r="I214" s="11" t="s">
        <v>986</v>
      </c>
      <c r="J214" s="11" t="s">
        <v>987</v>
      </c>
      <c r="K214" s="11" t="s">
        <v>122</v>
      </c>
      <c r="L214" s="14"/>
      <c r="M214" s="15"/>
      <c r="N214" s="16"/>
      <c r="O214" s="16"/>
    </row>
    <row r="215" ht="22.5" customHeight="1">
      <c r="A215" s="10" t="str">
        <f t="shared" si="1"/>
        <v>12/2025</v>
      </c>
      <c r="B215" s="10">
        <v>46014.87873704861</v>
      </c>
      <c r="C215" s="11" t="s">
        <v>386</v>
      </c>
      <c r="D215" s="11" t="s">
        <v>988</v>
      </c>
      <c r="E215" s="12" t="s">
        <v>989</v>
      </c>
      <c r="F215" s="11" t="s">
        <v>18</v>
      </c>
      <c r="G215" s="11" t="s">
        <v>990</v>
      </c>
      <c r="H215" s="11" t="s">
        <v>36</v>
      </c>
      <c r="I215" s="11" t="s">
        <v>991</v>
      </c>
      <c r="J215" s="11" t="s">
        <v>992</v>
      </c>
      <c r="K215" s="11">
        <v>8.92821080500495E14</v>
      </c>
      <c r="L215" s="14"/>
      <c r="M215" s="15"/>
      <c r="N215" s="16"/>
      <c r="O215" s="16"/>
    </row>
    <row r="216" ht="22.5" customHeight="1">
      <c r="A216" s="10" t="str">
        <f t="shared" si="1"/>
        <v>12/2025</v>
      </c>
      <c r="B216" s="10">
        <v>46014.88068465277</v>
      </c>
      <c r="C216" s="11" t="s">
        <v>386</v>
      </c>
      <c r="D216" s="11" t="s">
        <v>524</v>
      </c>
      <c r="E216" s="12" t="s">
        <v>993</v>
      </c>
      <c r="F216" s="11" t="s">
        <v>18</v>
      </c>
      <c r="G216" s="11" t="s">
        <v>703</v>
      </c>
      <c r="H216" s="11" t="s">
        <v>36</v>
      </c>
      <c r="I216" s="11" t="s">
        <v>994</v>
      </c>
      <c r="J216" s="11" t="s">
        <v>995</v>
      </c>
      <c r="K216" s="11">
        <v>8.92821042900531E14</v>
      </c>
      <c r="L216" s="14"/>
      <c r="M216" s="15"/>
      <c r="N216" s="16"/>
      <c r="O216" s="16"/>
    </row>
    <row r="217" ht="22.5" customHeight="1">
      <c r="A217" s="10" t="str">
        <f t="shared" si="1"/>
        <v>12/2025</v>
      </c>
      <c r="B217" s="10">
        <v>46014.8829994213</v>
      </c>
      <c r="C217" s="11" t="s">
        <v>386</v>
      </c>
      <c r="D217" s="11" t="s">
        <v>996</v>
      </c>
      <c r="E217" s="12" t="s">
        <v>997</v>
      </c>
      <c r="F217" s="11" t="s">
        <v>18</v>
      </c>
      <c r="G217" s="11" t="s">
        <v>577</v>
      </c>
      <c r="H217" s="11" t="s">
        <v>20</v>
      </c>
      <c r="I217" s="11" t="s">
        <v>998</v>
      </c>
      <c r="J217" s="11" t="s">
        <v>999</v>
      </c>
      <c r="K217" s="11">
        <v>1.84825082100116E14</v>
      </c>
      <c r="L217" s="14"/>
      <c r="M217" s="15"/>
      <c r="N217" s="16"/>
      <c r="O217" s="16"/>
    </row>
    <row r="218" ht="22.5" customHeight="1">
      <c r="A218" s="10" t="str">
        <f t="shared" si="1"/>
        <v>12/2025</v>
      </c>
      <c r="B218" s="10">
        <v>46015.653420104165</v>
      </c>
      <c r="C218" s="11" t="s">
        <v>169</v>
      </c>
      <c r="D218" s="11" t="s">
        <v>1000</v>
      </c>
      <c r="E218" s="12" t="s">
        <v>1001</v>
      </c>
      <c r="F218" s="11" t="s">
        <v>118</v>
      </c>
      <c r="G218" s="11" t="s">
        <v>784</v>
      </c>
      <c r="H218" s="11" t="s">
        <v>36</v>
      </c>
      <c r="I218" s="11" t="s">
        <v>1002</v>
      </c>
      <c r="J218" s="11" t="s">
        <v>1003</v>
      </c>
      <c r="K218" s="11">
        <v>1.39824092700391E14</v>
      </c>
      <c r="L218" s="14"/>
      <c r="M218" s="15"/>
      <c r="N218" s="16"/>
      <c r="O218" s="16"/>
    </row>
    <row r="219" ht="22.5" customHeight="1">
      <c r="A219" s="10" t="str">
        <f t="shared" si="1"/>
        <v>12/2025</v>
      </c>
      <c r="B219" s="10">
        <v>46016.77403747685</v>
      </c>
      <c r="C219" s="11" t="s">
        <v>860</v>
      </c>
      <c r="D219" s="11" t="s">
        <v>1004</v>
      </c>
      <c r="E219" s="12" t="s">
        <v>1005</v>
      </c>
      <c r="F219" s="11" t="s">
        <v>249</v>
      </c>
      <c r="G219" s="11" t="s">
        <v>615</v>
      </c>
      <c r="H219" s="11" t="s">
        <v>1006</v>
      </c>
      <c r="I219" s="13" t="s">
        <v>1007</v>
      </c>
      <c r="J219" s="11" t="s">
        <v>1008</v>
      </c>
      <c r="K219" s="11">
        <v>1.85825082200142E14</v>
      </c>
      <c r="L219" s="14"/>
      <c r="M219" s="15"/>
      <c r="N219" s="16"/>
      <c r="O219" s="16"/>
    </row>
    <row r="220" ht="22.5" customHeight="1">
      <c r="A220" s="10" t="str">
        <f t="shared" si="1"/>
        <v>12/2025</v>
      </c>
      <c r="B220" s="10">
        <v>46016.86267827546</v>
      </c>
      <c r="C220" s="11" t="s">
        <v>408</v>
      </c>
      <c r="D220" s="11" t="s">
        <v>1009</v>
      </c>
      <c r="E220" s="12" t="s">
        <v>1010</v>
      </c>
      <c r="F220" s="11" t="s">
        <v>118</v>
      </c>
      <c r="G220" s="11" t="s">
        <v>1011</v>
      </c>
      <c r="H220" s="11" t="s">
        <v>36</v>
      </c>
      <c r="I220" s="11" t="s">
        <v>1012</v>
      </c>
      <c r="J220" s="11" t="s">
        <v>1013</v>
      </c>
      <c r="K220" s="11">
        <v>1.39822060400249E14</v>
      </c>
      <c r="L220" s="14"/>
      <c r="M220" s="21" t="s">
        <v>175</v>
      </c>
      <c r="N220" s="9"/>
      <c r="O220" s="9"/>
    </row>
    <row r="221" ht="22.5" customHeight="1">
      <c r="A221" s="10" t="str">
        <f t="shared" si="1"/>
        <v>12/2025</v>
      </c>
      <c r="B221" s="10">
        <v>46017.79173311342</v>
      </c>
      <c r="C221" s="11" t="s">
        <v>56</v>
      </c>
      <c r="D221" s="11" t="s">
        <v>1014</v>
      </c>
      <c r="E221" s="12" t="s">
        <v>1015</v>
      </c>
      <c r="F221" s="11" t="s">
        <v>18</v>
      </c>
      <c r="G221" s="11" t="s">
        <v>1016</v>
      </c>
      <c r="H221" s="11" t="s">
        <v>36</v>
      </c>
      <c r="I221" s="11" t="s">
        <v>1017</v>
      </c>
      <c r="J221" s="11" t="s">
        <v>55</v>
      </c>
      <c r="K221" s="11">
        <v>1.3982210200026E14</v>
      </c>
      <c r="L221" s="14"/>
      <c r="M221" s="15"/>
      <c r="N221" s="16"/>
      <c r="O221" s="16"/>
    </row>
    <row r="222" ht="22.5" customHeight="1">
      <c r="A222" s="10" t="str">
        <f t="shared" si="1"/>
        <v>12/2025</v>
      </c>
      <c r="B222" s="10">
        <v>46017.8671972338</v>
      </c>
      <c r="C222" s="11" t="s">
        <v>115</v>
      </c>
      <c r="D222" s="11" t="s">
        <v>1018</v>
      </c>
      <c r="E222" s="12" t="s">
        <v>1019</v>
      </c>
      <c r="F222" s="11" t="s">
        <v>118</v>
      </c>
      <c r="G222" s="11" t="s">
        <v>931</v>
      </c>
      <c r="H222" s="11" t="s">
        <v>36</v>
      </c>
      <c r="I222" s="11" t="s">
        <v>1020</v>
      </c>
      <c r="J222" s="11" t="s">
        <v>1021</v>
      </c>
      <c r="K222" s="11" t="s">
        <v>1022</v>
      </c>
      <c r="L222" s="14"/>
      <c r="M222" s="15"/>
      <c r="N222" s="16"/>
      <c r="O222" s="16"/>
    </row>
    <row r="223" ht="22.5" customHeight="1">
      <c r="A223" s="10" t="str">
        <f t="shared" si="1"/>
        <v>12/2025</v>
      </c>
      <c r="B223" s="10">
        <v>46017.868602546296</v>
      </c>
      <c r="C223" s="11" t="s">
        <v>115</v>
      </c>
      <c r="D223" s="11" t="s">
        <v>1023</v>
      </c>
      <c r="E223" s="11" t="s">
        <v>1024</v>
      </c>
      <c r="F223" s="11" t="s">
        <v>118</v>
      </c>
      <c r="G223" s="11">
        <v>5840.0</v>
      </c>
      <c r="H223" s="11" t="s">
        <v>36</v>
      </c>
      <c r="I223" s="11" t="s">
        <v>1025</v>
      </c>
      <c r="J223" s="11" t="s">
        <v>1026</v>
      </c>
      <c r="K223" s="11" t="s">
        <v>122</v>
      </c>
      <c r="L223" s="14"/>
      <c r="M223" s="15"/>
      <c r="N223" s="16"/>
      <c r="O223" s="16"/>
    </row>
    <row r="224" ht="22.5" customHeight="1">
      <c r="A224" s="10" t="str">
        <f t="shared" si="1"/>
        <v>12/2025</v>
      </c>
      <c r="B224" s="10">
        <v>46017.870535208334</v>
      </c>
      <c r="C224" s="11" t="s">
        <v>115</v>
      </c>
      <c r="D224" s="11" t="s">
        <v>1027</v>
      </c>
      <c r="E224" s="11" t="s">
        <v>1028</v>
      </c>
      <c r="F224" s="11" t="s">
        <v>118</v>
      </c>
      <c r="G224" s="11">
        <v>5840.0</v>
      </c>
      <c r="H224" s="11" t="s">
        <v>141</v>
      </c>
      <c r="I224" s="20" t="s">
        <v>1029</v>
      </c>
      <c r="J224" s="11" t="s">
        <v>1030</v>
      </c>
      <c r="K224" s="11" t="s">
        <v>122</v>
      </c>
      <c r="L224" s="14"/>
      <c r="M224" s="15"/>
      <c r="N224" s="16"/>
      <c r="O224" s="16"/>
    </row>
    <row r="225" ht="22.5" customHeight="1">
      <c r="A225" s="10" t="str">
        <f t="shared" si="1"/>
        <v>12/2025</v>
      </c>
      <c r="B225" s="10">
        <v>46018.34382553241</v>
      </c>
      <c r="C225" s="11" t="s">
        <v>386</v>
      </c>
      <c r="D225" s="11" t="s">
        <v>1031</v>
      </c>
      <c r="E225" s="12" t="s">
        <v>1032</v>
      </c>
      <c r="F225" s="11" t="s">
        <v>18</v>
      </c>
      <c r="G225" s="11" t="s">
        <v>577</v>
      </c>
      <c r="H225" s="11" t="s">
        <v>20</v>
      </c>
      <c r="I225" s="11" t="s">
        <v>1033</v>
      </c>
      <c r="J225" s="11" t="s">
        <v>1034</v>
      </c>
      <c r="K225" s="11">
        <v>1.8482508210027E14</v>
      </c>
      <c r="L225" s="14"/>
      <c r="M225" s="15"/>
      <c r="N225" s="16"/>
      <c r="O225" s="16"/>
    </row>
    <row r="226" ht="22.5" customHeight="1">
      <c r="A226" s="10" t="str">
        <f t="shared" si="1"/>
        <v>12/2025</v>
      </c>
      <c r="B226" s="10">
        <v>46018.34647130787</v>
      </c>
      <c r="C226" s="11" t="s">
        <v>386</v>
      </c>
      <c r="D226" s="11" t="s">
        <v>1035</v>
      </c>
      <c r="E226" s="12" t="s">
        <v>1036</v>
      </c>
      <c r="F226" s="11" t="s">
        <v>18</v>
      </c>
      <c r="G226" s="11" t="s">
        <v>760</v>
      </c>
      <c r="H226" s="11" t="s">
        <v>36</v>
      </c>
      <c r="I226" s="11" t="s">
        <v>1037</v>
      </c>
      <c r="J226" s="11" t="s">
        <v>1038</v>
      </c>
      <c r="K226" s="11">
        <v>1.19823091200225E14</v>
      </c>
      <c r="L226" s="14"/>
      <c r="M226" s="15"/>
      <c r="N226" s="16"/>
      <c r="O226" s="16"/>
    </row>
    <row r="227" ht="22.5" customHeight="1">
      <c r="A227" s="10" t="str">
        <f t="shared" si="1"/>
        <v>12/2025</v>
      </c>
      <c r="B227" s="10">
        <v>46018.34853804398</v>
      </c>
      <c r="C227" s="11" t="s">
        <v>386</v>
      </c>
      <c r="D227" s="11" t="s">
        <v>240</v>
      </c>
      <c r="E227" s="12" t="s">
        <v>901</v>
      </c>
      <c r="F227" s="11" t="s">
        <v>18</v>
      </c>
      <c r="G227" s="11" t="s">
        <v>250</v>
      </c>
      <c r="H227" s="11" t="s">
        <v>20</v>
      </c>
      <c r="I227" s="11" t="s">
        <v>1039</v>
      </c>
      <c r="J227" s="11" t="s">
        <v>1040</v>
      </c>
      <c r="K227" s="11">
        <v>1.83825082100103E14</v>
      </c>
      <c r="L227" s="14"/>
      <c r="M227" s="15"/>
      <c r="N227" s="16"/>
      <c r="O227" s="16"/>
    </row>
    <row r="228" ht="22.5" customHeight="1">
      <c r="A228" s="10" t="str">
        <f t="shared" si="1"/>
        <v>12/2025</v>
      </c>
      <c r="B228" s="10">
        <v>46018.35159233796</v>
      </c>
      <c r="C228" s="11" t="s">
        <v>386</v>
      </c>
      <c r="D228" s="11" t="s">
        <v>1041</v>
      </c>
      <c r="E228" s="12" t="s">
        <v>1042</v>
      </c>
      <c r="F228" s="11" t="s">
        <v>18</v>
      </c>
      <c r="G228" s="11" t="s">
        <v>1043</v>
      </c>
      <c r="H228" s="11" t="s">
        <v>20</v>
      </c>
      <c r="I228" s="11" t="s">
        <v>1044</v>
      </c>
      <c r="J228" s="11" t="s">
        <v>1045</v>
      </c>
      <c r="K228" s="11">
        <v>1.8582508220004E14</v>
      </c>
      <c r="L228" s="14"/>
      <c r="M228" s="15"/>
      <c r="N228" s="16"/>
      <c r="O228" s="16"/>
    </row>
    <row r="229" ht="22.5" customHeight="1">
      <c r="A229" s="10" t="str">
        <f t="shared" si="1"/>
        <v>12/2025</v>
      </c>
      <c r="B229" s="10">
        <v>46018.35531746528</v>
      </c>
      <c r="C229" s="11" t="s">
        <v>386</v>
      </c>
      <c r="D229" s="11" t="s">
        <v>1046</v>
      </c>
      <c r="E229" s="12" t="s">
        <v>677</v>
      </c>
      <c r="F229" s="11" t="s">
        <v>18</v>
      </c>
      <c r="G229" s="11" t="s">
        <v>589</v>
      </c>
      <c r="H229" s="11" t="s">
        <v>721</v>
      </c>
      <c r="I229" s="11" t="s">
        <v>1047</v>
      </c>
      <c r="J229" s="11" t="s">
        <v>1048</v>
      </c>
      <c r="K229" s="11">
        <v>1.85825082200138E14</v>
      </c>
      <c r="L229" s="14"/>
      <c r="M229" s="15"/>
      <c r="N229" s="16"/>
      <c r="O229" s="16"/>
    </row>
    <row r="230" ht="22.5" customHeight="1">
      <c r="A230" s="10" t="str">
        <f t="shared" si="1"/>
        <v>12/2025</v>
      </c>
      <c r="B230" s="10">
        <v>46018.357494861106</v>
      </c>
      <c r="C230" s="11" t="s">
        <v>386</v>
      </c>
      <c r="D230" s="11" t="s">
        <v>1049</v>
      </c>
      <c r="E230" s="11" t="s">
        <v>1050</v>
      </c>
      <c r="F230" s="11" t="s">
        <v>18</v>
      </c>
      <c r="G230" s="11" t="s">
        <v>250</v>
      </c>
      <c r="H230" s="11" t="s">
        <v>36</v>
      </c>
      <c r="I230" s="11" t="s">
        <v>1051</v>
      </c>
      <c r="J230" s="11" t="s">
        <v>1052</v>
      </c>
      <c r="K230" s="11">
        <v>1.39824091100282E14</v>
      </c>
      <c r="L230" s="14"/>
      <c r="M230" s="15"/>
      <c r="N230" s="16"/>
      <c r="O230" s="16"/>
    </row>
    <row r="231" ht="22.5" customHeight="1">
      <c r="A231" s="10" t="str">
        <f t="shared" si="1"/>
        <v>12/2025</v>
      </c>
      <c r="B231" s="10">
        <v>46018.35938011574</v>
      </c>
      <c r="C231" s="11" t="s">
        <v>386</v>
      </c>
      <c r="D231" s="11" t="s">
        <v>367</v>
      </c>
      <c r="E231" s="12" t="s">
        <v>414</v>
      </c>
      <c r="F231" s="11" t="s">
        <v>18</v>
      </c>
      <c r="G231" s="11" t="s">
        <v>760</v>
      </c>
      <c r="H231" s="11" t="s">
        <v>36</v>
      </c>
      <c r="I231" s="11" t="s">
        <v>1053</v>
      </c>
      <c r="J231" s="11" t="s">
        <v>1054</v>
      </c>
      <c r="K231" s="11">
        <v>1.19823021300189E14</v>
      </c>
      <c r="L231" s="14"/>
      <c r="M231" s="15"/>
      <c r="N231" s="16"/>
      <c r="O231" s="16"/>
    </row>
    <row r="232" ht="22.5" customHeight="1">
      <c r="A232" s="10" t="str">
        <f t="shared" si="1"/>
        <v>12/2025</v>
      </c>
      <c r="B232" s="10">
        <v>46018.361742152774</v>
      </c>
      <c r="C232" s="11" t="s">
        <v>386</v>
      </c>
      <c r="D232" s="11" t="s">
        <v>1055</v>
      </c>
      <c r="E232" s="12" t="s">
        <v>1056</v>
      </c>
      <c r="F232" s="11" t="s">
        <v>18</v>
      </c>
      <c r="G232" s="11" t="s">
        <v>703</v>
      </c>
      <c r="H232" s="11" t="s">
        <v>36</v>
      </c>
      <c r="I232" s="11" t="s">
        <v>1057</v>
      </c>
      <c r="J232" s="11" t="s">
        <v>1058</v>
      </c>
      <c r="K232" s="11">
        <v>8.928210805004E14</v>
      </c>
      <c r="L232" s="14"/>
      <c r="M232" s="15"/>
      <c r="N232" s="16"/>
      <c r="O232" s="16"/>
    </row>
    <row r="233" ht="22.5" customHeight="1">
      <c r="A233" s="10" t="str">
        <f t="shared" si="1"/>
        <v>12/2025</v>
      </c>
      <c r="B233" s="10">
        <v>46019.48144853009</v>
      </c>
      <c r="C233" s="11" t="s">
        <v>22</v>
      </c>
      <c r="D233" s="11" t="s">
        <v>1059</v>
      </c>
      <c r="E233" s="12" t="s">
        <v>1060</v>
      </c>
      <c r="F233" s="11" t="s">
        <v>1061</v>
      </c>
      <c r="G233" s="11" t="s">
        <v>1062</v>
      </c>
      <c r="H233" s="11" t="s">
        <v>20</v>
      </c>
      <c r="I233" s="11" t="s">
        <v>1063</v>
      </c>
      <c r="J233" s="11" t="s">
        <v>1064</v>
      </c>
      <c r="K233" s="11">
        <v>1.85825082200044E14</v>
      </c>
      <c r="L233" s="14"/>
      <c r="M233" s="15"/>
      <c r="N233" s="16"/>
      <c r="O233" s="16"/>
    </row>
    <row r="234" ht="22.5" customHeight="1">
      <c r="A234" s="10" t="str">
        <f t="shared" si="1"/>
        <v>12/2025</v>
      </c>
      <c r="B234" s="10">
        <v>46019.499862094905</v>
      </c>
      <c r="C234" s="11" t="s">
        <v>132</v>
      </c>
      <c r="D234" s="11" t="s">
        <v>1065</v>
      </c>
      <c r="E234" s="12" t="s">
        <v>1066</v>
      </c>
      <c r="F234" s="11" t="s">
        <v>18</v>
      </c>
      <c r="G234" s="11" t="s">
        <v>1067</v>
      </c>
      <c r="H234" s="11" t="s">
        <v>20</v>
      </c>
      <c r="I234" s="11" t="s">
        <v>1068</v>
      </c>
      <c r="J234" s="11" t="s">
        <v>1069</v>
      </c>
      <c r="K234" s="11">
        <v>1.83825082100064E14</v>
      </c>
      <c r="L234" s="14"/>
      <c r="M234" s="15"/>
      <c r="N234" s="16"/>
      <c r="O234" s="16"/>
    </row>
    <row r="235" ht="22.5" customHeight="1">
      <c r="A235" s="10" t="str">
        <f t="shared" si="1"/>
        <v>12/2025</v>
      </c>
      <c r="B235" s="10">
        <v>46019.53045636574</v>
      </c>
      <c r="C235" s="11" t="s">
        <v>132</v>
      </c>
      <c r="D235" s="11" t="s">
        <v>1070</v>
      </c>
      <c r="E235" s="12" t="s">
        <v>1071</v>
      </c>
      <c r="F235" s="11" t="s">
        <v>18</v>
      </c>
      <c r="G235" s="11" t="s">
        <v>217</v>
      </c>
      <c r="H235" s="11" t="s">
        <v>44</v>
      </c>
      <c r="I235" s="11" t="s">
        <v>1072</v>
      </c>
      <c r="J235" s="11" t="s">
        <v>868</v>
      </c>
      <c r="K235" s="11">
        <v>1.8582508220007E14</v>
      </c>
      <c r="L235" s="14"/>
      <c r="M235" s="15"/>
      <c r="N235" s="16"/>
      <c r="O235" s="16"/>
    </row>
    <row r="236" ht="22.5" customHeight="1">
      <c r="A236" s="10" t="str">
        <f t="shared" si="1"/>
        <v>12/2025</v>
      </c>
      <c r="B236" s="10">
        <v>46019.801951064816</v>
      </c>
      <c r="C236" s="11" t="s">
        <v>115</v>
      </c>
      <c r="D236" s="11" t="s">
        <v>883</v>
      </c>
      <c r="E236" s="12" t="s">
        <v>1073</v>
      </c>
      <c r="F236" s="11" t="s">
        <v>118</v>
      </c>
      <c r="G236" s="11">
        <v>5640.0</v>
      </c>
      <c r="H236" s="11" t="s">
        <v>36</v>
      </c>
      <c r="I236" s="11" t="s">
        <v>1074</v>
      </c>
      <c r="J236" s="11" t="s">
        <v>1075</v>
      </c>
      <c r="K236" s="11" t="s">
        <v>122</v>
      </c>
      <c r="L236" s="14"/>
      <c r="M236" s="15"/>
      <c r="N236" s="16"/>
      <c r="O236" s="16"/>
    </row>
    <row r="237" ht="22.5" customHeight="1">
      <c r="A237" s="10" t="str">
        <f t="shared" si="1"/>
        <v>12/2025</v>
      </c>
      <c r="B237" s="10">
        <v>46019.803867442126</v>
      </c>
      <c r="C237" s="11" t="s">
        <v>115</v>
      </c>
      <c r="D237" s="11" t="s">
        <v>753</v>
      </c>
      <c r="E237" s="12" t="s">
        <v>1076</v>
      </c>
      <c r="F237" s="11" t="s">
        <v>118</v>
      </c>
      <c r="G237" s="11">
        <v>5840.0</v>
      </c>
      <c r="H237" s="11" t="s">
        <v>36</v>
      </c>
      <c r="I237" s="11" t="s">
        <v>1077</v>
      </c>
      <c r="J237" s="11" t="s">
        <v>1075</v>
      </c>
      <c r="K237" s="11" t="s">
        <v>122</v>
      </c>
      <c r="L237" s="14"/>
      <c r="M237" s="15"/>
      <c r="N237" s="16"/>
      <c r="O237" s="16"/>
    </row>
    <row r="238" ht="22.5" customHeight="1">
      <c r="A238" s="10" t="str">
        <f t="shared" si="1"/>
        <v>12/2025</v>
      </c>
      <c r="B238" s="10">
        <v>46019.805183969904</v>
      </c>
      <c r="C238" s="11" t="s">
        <v>115</v>
      </c>
      <c r="D238" s="11" t="s">
        <v>665</v>
      </c>
      <c r="E238" s="12" t="s">
        <v>1078</v>
      </c>
      <c r="F238" s="11" t="s">
        <v>118</v>
      </c>
      <c r="G238" s="11">
        <v>5640.0</v>
      </c>
      <c r="H238" s="11" t="s">
        <v>36</v>
      </c>
      <c r="I238" s="11" t="s">
        <v>1079</v>
      </c>
      <c r="J238" s="11" t="s">
        <v>1080</v>
      </c>
      <c r="K238" s="11" t="s">
        <v>122</v>
      </c>
      <c r="L238" s="14"/>
      <c r="M238" s="15"/>
      <c r="N238" s="16"/>
      <c r="O238" s="16"/>
    </row>
    <row r="239" ht="22.5" customHeight="1">
      <c r="A239" s="10" t="str">
        <f t="shared" si="1"/>
        <v>12/2025</v>
      </c>
      <c r="B239" s="10">
        <v>46020.77698659722</v>
      </c>
      <c r="C239" s="11" t="s">
        <v>320</v>
      </c>
      <c r="D239" s="11" t="s">
        <v>1081</v>
      </c>
      <c r="E239" s="12" t="s">
        <v>1082</v>
      </c>
      <c r="F239" s="11" t="s">
        <v>686</v>
      </c>
      <c r="G239" s="11" t="s">
        <v>1083</v>
      </c>
      <c r="H239" s="11" t="s">
        <v>36</v>
      </c>
      <c r="I239" s="11" t="s">
        <v>1084</v>
      </c>
      <c r="J239" s="11" t="s">
        <v>1085</v>
      </c>
      <c r="K239" s="11">
        <v>1.39824092700308E14</v>
      </c>
      <c r="L239" s="14"/>
      <c r="M239" s="15"/>
      <c r="N239" s="16"/>
      <c r="O239" s="16"/>
    </row>
    <row r="240" ht="22.5" customHeight="1">
      <c r="A240" s="10" t="str">
        <f t="shared" si="1"/>
        <v>12/2025</v>
      </c>
      <c r="B240" s="10">
        <v>46020.78657188657</v>
      </c>
      <c r="C240" s="11" t="s">
        <v>659</v>
      </c>
      <c r="D240" s="11" t="s">
        <v>1086</v>
      </c>
      <c r="E240" s="12" t="s">
        <v>1087</v>
      </c>
      <c r="F240" s="11" t="s">
        <v>290</v>
      </c>
      <c r="G240" s="11" t="s">
        <v>1088</v>
      </c>
      <c r="H240" s="11" t="s">
        <v>36</v>
      </c>
      <c r="I240" s="11" t="s">
        <v>1089</v>
      </c>
      <c r="J240" s="11" t="s">
        <v>1090</v>
      </c>
      <c r="K240" s="11">
        <v>1.19823021300246E14</v>
      </c>
      <c r="L240" s="14"/>
      <c r="M240" s="15"/>
      <c r="N240" s="16"/>
      <c r="O240" s="16"/>
    </row>
    <row r="241" ht="22.5" customHeight="1">
      <c r="A241" s="10" t="str">
        <f t="shared" si="1"/>
        <v>12/2025</v>
      </c>
      <c r="B241" s="10">
        <v>46020.838659375004</v>
      </c>
      <c r="C241" s="11" t="s">
        <v>77</v>
      </c>
      <c r="D241" s="11" t="s">
        <v>1091</v>
      </c>
      <c r="E241" s="12" t="s">
        <v>1092</v>
      </c>
      <c r="F241" s="11" t="s">
        <v>64</v>
      </c>
      <c r="G241" s="11" t="s">
        <v>838</v>
      </c>
      <c r="H241" s="11" t="s">
        <v>20</v>
      </c>
      <c r="I241" s="17" t="s">
        <v>1093</v>
      </c>
      <c r="J241" s="11" t="s">
        <v>1094</v>
      </c>
      <c r="K241" s="11">
        <v>1.84825082100227E14</v>
      </c>
      <c r="L241" s="14"/>
      <c r="M241" s="15"/>
      <c r="N241" s="16"/>
      <c r="O241" s="16"/>
    </row>
    <row r="242" ht="22.5" customHeight="1">
      <c r="A242" s="10" t="str">
        <f t="shared" si="1"/>
        <v>12/2025</v>
      </c>
      <c r="B242" s="10">
        <v>46020.86079</v>
      </c>
      <c r="C242" s="11" t="s">
        <v>386</v>
      </c>
      <c r="D242" s="11" t="s">
        <v>1095</v>
      </c>
      <c r="E242" s="12" t="s">
        <v>1096</v>
      </c>
      <c r="F242" s="11" t="s">
        <v>18</v>
      </c>
      <c r="G242" s="11" t="s">
        <v>250</v>
      </c>
      <c r="H242" s="11" t="s">
        <v>36</v>
      </c>
      <c r="I242" s="11" t="s">
        <v>1097</v>
      </c>
      <c r="J242" s="11" t="s">
        <v>1098</v>
      </c>
      <c r="K242" s="11">
        <v>1.39822120800192E14</v>
      </c>
      <c r="L242" s="14"/>
      <c r="M242" s="15"/>
      <c r="N242" s="16"/>
      <c r="O242" s="16"/>
    </row>
    <row r="243" ht="22.5" customHeight="1">
      <c r="A243" s="10" t="str">
        <f t="shared" si="1"/>
        <v>12/2025</v>
      </c>
      <c r="B243" s="10">
        <v>46020.96503306713</v>
      </c>
      <c r="C243" s="11" t="s">
        <v>408</v>
      </c>
      <c r="D243" s="11" t="s">
        <v>1099</v>
      </c>
      <c r="E243" s="12" t="s">
        <v>1100</v>
      </c>
      <c r="F243" s="11" t="s">
        <v>118</v>
      </c>
      <c r="G243" s="11" t="s">
        <v>250</v>
      </c>
      <c r="H243" s="11" t="s">
        <v>36</v>
      </c>
      <c r="I243" s="11" t="s">
        <v>1101</v>
      </c>
      <c r="J243" s="11" t="s">
        <v>1013</v>
      </c>
      <c r="K243" s="11">
        <v>1.39822121600222E14</v>
      </c>
      <c r="L243" s="14"/>
      <c r="M243" s="21" t="s">
        <v>380</v>
      </c>
      <c r="N243" s="9"/>
      <c r="O243" s="9"/>
    </row>
    <row r="244" ht="22.5" customHeight="1">
      <c r="A244" s="10" t="str">
        <f t="shared" si="1"/>
        <v>12/2025</v>
      </c>
      <c r="B244" s="10">
        <v>46021.47352773148</v>
      </c>
      <c r="C244" s="11" t="s">
        <v>246</v>
      </c>
      <c r="D244" s="11" t="s">
        <v>1102</v>
      </c>
      <c r="E244" s="12" t="s">
        <v>1103</v>
      </c>
      <c r="F244" s="11" t="s">
        <v>249</v>
      </c>
      <c r="G244" s="11" t="s">
        <v>1104</v>
      </c>
      <c r="H244" s="11" t="s">
        <v>44</v>
      </c>
      <c r="I244" s="11" t="s">
        <v>1105</v>
      </c>
      <c r="J244" s="11" t="s">
        <v>1106</v>
      </c>
      <c r="K244" s="11">
        <v>1.85825082200027E14</v>
      </c>
      <c r="L244" s="14"/>
      <c r="M244" s="15"/>
      <c r="N244" s="16"/>
      <c r="O244" s="16"/>
    </row>
    <row r="245" ht="22.5" customHeight="1">
      <c r="A245" s="10" t="str">
        <f t="shared" si="1"/>
        <v>12/2025</v>
      </c>
      <c r="B245" s="10">
        <v>46021.47739344907</v>
      </c>
      <c r="C245" s="11" t="s">
        <v>246</v>
      </c>
      <c r="D245" s="11" t="s">
        <v>1102</v>
      </c>
      <c r="E245" s="12" t="s">
        <v>1103</v>
      </c>
      <c r="F245" s="11" t="s">
        <v>249</v>
      </c>
      <c r="G245" s="11" t="s">
        <v>1104</v>
      </c>
      <c r="H245" s="11" t="s">
        <v>44</v>
      </c>
      <c r="I245" s="11" t="s">
        <v>1107</v>
      </c>
      <c r="J245" s="11" t="s">
        <v>1108</v>
      </c>
      <c r="K245" s="11">
        <v>1.85825082200045E14</v>
      </c>
      <c r="L245" s="14"/>
      <c r="M245" s="15"/>
      <c r="N245" s="16"/>
      <c r="O245" s="16"/>
    </row>
    <row r="246" ht="22.5" customHeight="1">
      <c r="A246" s="10" t="str">
        <f t="shared" si="1"/>
        <v>12/2025</v>
      </c>
      <c r="B246" s="10">
        <v>46021.77802633102</v>
      </c>
      <c r="C246" s="11" t="s">
        <v>386</v>
      </c>
      <c r="D246" s="11" t="s">
        <v>1109</v>
      </c>
      <c r="E246" s="12" t="s">
        <v>1110</v>
      </c>
      <c r="F246" s="11" t="s">
        <v>18</v>
      </c>
      <c r="G246" s="11" t="s">
        <v>250</v>
      </c>
      <c r="H246" s="11" t="s">
        <v>36</v>
      </c>
      <c r="I246" s="11" t="s">
        <v>1111</v>
      </c>
      <c r="J246" s="11" t="s">
        <v>1112</v>
      </c>
      <c r="K246" s="11">
        <v>1.398221208002E14</v>
      </c>
      <c r="L246" s="14"/>
      <c r="M246" s="15"/>
      <c r="N246" s="16"/>
      <c r="O246" s="16"/>
    </row>
    <row r="247" ht="22.5" customHeight="1">
      <c r="A247" s="10" t="str">
        <f t="shared" si="1"/>
        <v>12/2025</v>
      </c>
      <c r="B247" s="10">
        <v>46022.55904112269</v>
      </c>
      <c r="C247" s="11" t="s">
        <v>115</v>
      </c>
      <c r="D247" s="11" t="s">
        <v>1113</v>
      </c>
      <c r="E247" s="12" t="s">
        <v>1114</v>
      </c>
      <c r="F247" s="11" t="s">
        <v>118</v>
      </c>
      <c r="G247" s="11">
        <v>5840.0</v>
      </c>
      <c r="H247" s="11" t="s">
        <v>36</v>
      </c>
      <c r="I247" s="11" t="s">
        <v>1115</v>
      </c>
      <c r="J247" s="11" t="s">
        <v>1116</v>
      </c>
      <c r="K247" s="11" t="s">
        <v>122</v>
      </c>
      <c r="L247" s="14"/>
      <c r="M247" s="15"/>
      <c r="N247" s="16"/>
      <c r="O247" s="16"/>
    </row>
    <row r="248" ht="22.5" customHeight="1">
      <c r="A248" s="10" t="str">
        <f t="shared" si="1"/>
        <v>12/2025</v>
      </c>
      <c r="B248" s="10">
        <v>46022.56231496528</v>
      </c>
      <c r="C248" s="11" t="s">
        <v>115</v>
      </c>
      <c r="D248" s="11" t="s">
        <v>1117</v>
      </c>
      <c r="E248" s="11">
        <v>9.74546785E8</v>
      </c>
      <c r="F248" s="11" t="s">
        <v>118</v>
      </c>
      <c r="G248" s="11" t="s">
        <v>1118</v>
      </c>
      <c r="H248" s="11" t="s">
        <v>36</v>
      </c>
      <c r="I248" s="11" t="s">
        <v>1119</v>
      </c>
      <c r="J248" s="11" t="s">
        <v>1116</v>
      </c>
      <c r="K248" s="11" t="s">
        <v>122</v>
      </c>
      <c r="L248" s="14"/>
      <c r="M248" s="15"/>
      <c r="N248" s="16"/>
      <c r="O248" s="16"/>
    </row>
    <row r="249" ht="22.5" customHeight="1">
      <c r="A249" s="10" t="str">
        <f t="shared" si="1"/>
        <v>12/2025</v>
      </c>
      <c r="B249" s="10">
        <v>46022.62568388889</v>
      </c>
      <c r="C249" s="11" t="s">
        <v>115</v>
      </c>
      <c r="D249" s="11" t="s">
        <v>1120</v>
      </c>
      <c r="E249" s="11">
        <v>9.49492468E8</v>
      </c>
      <c r="F249" s="11" t="s">
        <v>118</v>
      </c>
      <c r="G249" s="11" t="s">
        <v>1121</v>
      </c>
      <c r="H249" s="11" t="s">
        <v>36</v>
      </c>
      <c r="I249" s="11" t="s">
        <v>1122</v>
      </c>
      <c r="J249" s="11" t="s">
        <v>928</v>
      </c>
      <c r="K249" s="11" t="s">
        <v>122</v>
      </c>
      <c r="L249" s="14"/>
      <c r="M249" s="15"/>
      <c r="N249" s="16"/>
      <c r="O249" s="16"/>
    </row>
    <row r="250" ht="22.5" customHeight="1">
      <c r="A250" s="10" t="str">
        <f t="shared" si="1"/>
        <v>12/2025</v>
      </c>
      <c r="B250" s="10">
        <v>46022.629642326385</v>
      </c>
      <c r="C250" s="11" t="s">
        <v>115</v>
      </c>
      <c r="D250" s="11" t="s">
        <v>946</v>
      </c>
      <c r="E250" s="12" t="s">
        <v>1123</v>
      </c>
      <c r="F250" s="11" t="s">
        <v>118</v>
      </c>
      <c r="G250" s="11" t="s">
        <v>1124</v>
      </c>
      <c r="H250" s="11" t="s">
        <v>36</v>
      </c>
      <c r="I250" s="11" t="s">
        <v>1125</v>
      </c>
      <c r="J250" s="11" t="s">
        <v>965</v>
      </c>
      <c r="K250" s="11" t="s">
        <v>122</v>
      </c>
      <c r="L250" s="14"/>
      <c r="M250" s="15"/>
      <c r="N250" s="16"/>
      <c r="O250" s="16"/>
    </row>
    <row r="251" ht="22.5" customHeight="1">
      <c r="A251" s="10" t="str">
        <f t="shared" si="1"/>
        <v>12/2025</v>
      </c>
      <c r="B251" s="10">
        <v>46022.633539745366</v>
      </c>
      <c r="C251" s="11" t="s">
        <v>115</v>
      </c>
      <c r="D251" s="11" t="s">
        <v>1126</v>
      </c>
      <c r="E251" s="12" t="s">
        <v>1127</v>
      </c>
      <c r="F251" s="11" t="s">
        <v>118</v>
      </c>
      <c r="G251" s="11" t="s">
        <v>129</v>
      </c>
      <c r="H251" s="11" t="s">
        <v>36</v>
      </c>
      <c r="I251" s="11" t="s">
        <v>1128</v>
      </c>
      <c r="J251" s="11" t="s">
        <v>928</v>
      </c>
      <c r="K251" s="11" t="s">
        <v>122</v>
      </c>
      <c r="L251" s="14"/>
      <c r="M251" s="15"/>
      <c r="N251" s="16"/>
      <c r="O251" s="16"/>
    </row>
    <row r="252" ht="22.5" customHeight="1">
      <c r="A252" s="10" t="str">
        <f t="shared" si="1"/>
        <v>12/2025</v>
      </c>
      <c r="B252" s="10">
        <v>46022.642357199074</v>
      </c>
      <c r="C252" s="11" t="s">
        <v>115</v>
      </c>
      <c r="D252" s="11" t="s">
        <v>1129</v>
      </c>
      <c r="E252" s="12" t="s">
        <v>1130</v>
      </c>
      <c r="F252" s="11" t="s">
        <v>118</v>
      </c>
      <c r="G252" s="11">
        <v>5840.0</v>
      </c>
      <c r="H252" s="11" t="s">
        <v>141</v>
      </c>
      <c r="I252" s="11" t="s">
        <v>1131</v>
      </c>
      <c r="J252" s="11" t="s">
        <v>1132</v>
      </c>
      <c r="K252" s="11" t="s">
        <v>122</v>
      </c>
      <c r="L252" s="14"/>
      <c r="M252" s="15"/>
      <c r="N252" s="16"/>
      <c r="O252" s="16"/>
    </row>
    <row r="253" ht="22.5" customHeight="1">
      <c r="A253" s="10" t="str">
        <f t="shared" si="1"/>
        <v>12/2025</v>
      </c>
      <c r="B253" s="10">
        <v>46022.77160612268</v>
      </c>
      <c r="C253" s="11" t="s">
        <v>386</v>
      </c>
      <c r="D253" s="11" t="s">
        <v>1133</v>
      </c>
      <c r="E253" s="12" t="s">
        <v>1134</v>
      </c>
      <c r="F253" s="11" t="s">
        <v>18</v>
      </c>
      <c r="G253" s="11" t="s">
        <v>760</v>
      </c>
      <c r="H253" s="11" t="s">
        <v>36</v>
      </c>
      <c r="I253" s="11" t="s">
        <v>1135</v>
      </c>
      <c r="J253" s="11" t="s">
        <v>1136</v>
      </c>
      <c r="K253" s="11">
        <v>1.19823072500138E14</v>
      </c>
      <c r="L253" s="14"/>
      <c r="M253" s="15"/>
      <c r="N253" s="16"/>
      <c r="O253" s="16"/>
    </row>
    <row r="254" ht="22.5" customHeight="1">
      <c r="A254" s="10" t="str">
        <f t="shared" si="1"/>
        <v>12/2025</v>
      </c>
      <c r="B254" s="10">
        <v>46022.84340950231</v>
      </c>
      <c r="C254" s="11" t="s">
        <v>300</v>
      </c>
      <c r="D254" s="11" t="s">
        <v>524</v>
      </c>
      <c r="E254" s="12" t="s">
        <v>525</v>
      </c>
      <c r="F254" s="11" t="s">
        <v>303</v>
      </c>
      <c r="G254" s="11" t="s">
        <v>217</v>
      </c>
      <c r="H254" s="11" t="s">
        <v>635</v>
      </c>
      <c r="I254" s="11" t="s">
        <v>1137</v>
      </c>
      <c r="J254" s="11" t="s">
        <v>293</v>
      </c>
      <c r="K254" s="11">
        <v>1.85825082200141E14</v>
      </c>
      <c r="L254" s="14"/>
      <c r="M254" s="15"/>
      <c r="N254" s="16"/>
      <c r="O254" s="16"/>
    </row>
    <row r="255" ht="22.5" customHeight="1">
      <c r="A255" s="10" t="str">
        <f t="shared" si="1"/>
        <v>12/2025</v>
      </c>
      <c r="B255" s="10">
        <v>46022.84590128472</v>
      </c>
      <c r="C255" s="11" t="s">
        <v>300</v>
      </c>
      <c r="D255" s="11" t="s">
        <v>1138</v>
      </c>
      <c r="E255" s="12" t="s">
        <v>1139</v>
      </c>
      <c r="F255" s="11" t="s">
        <v>303</v>
      </c>
      <c r="G255" s="11" t="s">
        <v>1062</v>
      </c>
      <c r="H255" s="11" t="s">
        <v>20</v>
      </c>
      <c r="I255" s="11" t="s">
        <v>1140</v>
      </c>
      <c r="J255" s="11" t="s">
        <v>1141</v>
      </c>
      <c r="K255" s="11">
        <v>1.85825082200143E14</v>
      </c>
      <c r="L255" s="14"/>
      <c r="M255" s="15"/>
      <c r="N255" s="16"/>
      <c r="O255" s="16"/>
    </row>
    <row r="256" ht="22.5" customHeight="1">
      <c r="A256" s="10" t="str">
        <f t="shared" si="1"/>
        <v>1/2026</v>
      </c>
      <c r="B256" s="10">
        <v>46024.81751878472</v>
      </c>
      <c r="C256" s="11" t="s">
        <v>386</v>
      </c>
      <c r="D256" s="11" t="s">
        <v>1142</v>
      </c>
      <c r="E256" s="12" t="s">
        <v>997</v>
      </c>
      <c r="F256" s="11" t="s">
        <v>18</v>
      </c>
      <c r="G256" s="11" t="s">
        <v>250</v>
      </c>
      <c r="H256" s="11" t="s">
        <v>20</v>
      </c>
      <c r="I256" s="11" t="s">
        <v>1143</v>
      </c>
      <c r="J256" s="11" t="s">
        <v>1144</v>
      </c>
      <c r="K256" s="11">
        <v>1.84825082100271E14</v>
      </c>
      <c r="L256" s="14"/>
      <c r="M256" s="15"/>
      <c r="N256" s="9">
        <v>250000.0</v>
      </c>
      <c r="O256" s="16"/>
    </row>
    <row r="257" ht="22.5" customHeight="1">
      <c r="A257" s="10" t="str">
        <f t="shared" si="1"/>
        <v>1/2026</v>
      </c>
      <c r="B257" s="10">
        <v>46024.819360925925</v>
      </c>
      <c r="C257" s="11" t="s">
        <v>386</v>
      </c>
      <c r="D257" s="11" t="s">
        <v>1145</v>
      </c>
      <c r="E257" s="12" t="s">
        <v>1146</v>
      </c>
      <c r="F257" s="11" t="s">
        <v>18</v>
      </c>
      <c r="G257" s="11" t="s">
        <v>250</v>
      </c>
      <c r="H257" s="11" t="s">
        <v>20</v>
      </c>
      <c r="I257" s="11" t="s">
        <v>1147</v>
      </c>
      <c r="J257" s="11" t="s">
        <v>1148</v>
      </c>
      <c r="K257" s="11">
        <v>1.83825082100086E14</v>
      </c>
      <c r="L257" s="14"/>
      <c r="M257" s="15"/>
      <c r="N257" s="9">
        <v>250000.0</v>
      </c>
      <c r="O257" s="16"/>
    </row>
    <row r="258" ht="22.5" customHeight="1">
      <c r="A258" s="10" t="str">
        <f t="shared" si="1"/>
        <v>1/2026</v>
      </c>
      <c r="B258" s="10">
        <v>46024.827951342595</v>
      </c>
      <c r="C258" s="11" t="s">
        <v>308</v>
      </c>
      <c r="D258" s="11" t="s">
        <v>1149</v>
      </c>
      <c r="E258" s="12" t="s">
        <v>1150</v>
      </c>
      <c r="F258" s="11" t="s">
        <v>106</v>
      </c>
      <c r="G258" s="11" t="s">
        <v>1151</v>
      </c>
      <c r="H258" s="11" t="s">
        <v>36</v>
      </c>
      <c r="I258" s="13" t="s">
        <v>1152</v>
      </c>
      <c r="J258" s="11" t="s">
        <v>1153</v>
      </c>
      <c r="K258" s="11">
        <v>1.1982207010001E14</v>
      </c>
      <c r="L258" s="14"/>
      <c r="M258" s="15"/>
      <c r="N258" s="9">
        <v>0.0</v>
      </c>
      <c r="O258" s="16"/>
    </row>
    <row r="259" ht="22.5" customHeight="1">
      <c r="A259" s="10" t="str">
        <f t="shared" si="1"/>
        <v>1/2026</v>
      </c>
      <c r="B259" s="10">
        <v>46025.37363543981</v>
      </c>
      <c r="C259" s="11" t="s">
        <v>320</v>
      </c>
      <c r="D259" s="11" t="s">
        <v>1154</v>
      </c>
      <c r="E259" s="12" t="s">
        <v>1155</v>
      </c>
      <c r="F259" s="11" t="s">
        <v>686</v>
      </c>
      <c r="G259" s="11">
        <v>5676.0</v>
      </c>
      <c r="H259" s="11" t="s">
        <v>20</v>
      </c>
      <c r="I259" s="13" t="s">
        <v>1156</v>
      </c>
      <c r="J259" s="11" t="s">
        <v>1157</v>
      </c>
      <c r="K259" s="11">
        <v>1.8482508210009E14</v>
      </c>
      <c r="L259" s="14"/>
      <c r="M259" s="21" t="s">
        <v>380</v>
      </c>
      <c r="N259" s="9">
        <v>0.0</v>
      </c>
      <c r="O259" s="9"/>
    </row>
    <row r="260" ht="22.5" customHeight="1">
      <c r="A260" s="10" t="str">
        <f t="shared" si="1"/>
        <v>1/2026</v>
      </c>
      <c r="B260" s="10">
        <v>46025.7564943287</v>
      </c>
      <c r="C260" s="11" t="s">
        <v>115</v>
      </c>
      <c r="D260" s="11" t="s">
        <v>1158</v>
      </c>
      <c r="E260" s="12" t="s">
        <v>1159</v>
      </c>
      <c r="F260" s="11" t="s">
        <v>118</v>
      </c>
      <c r="G260" s="11" t="s">
        <v>1124</v>
      </c>
      <c r="H260" s="11" t="s">
        <v>141</v>
      </c>
      <c r="I260" s="11" t="s">
        <v>1160</v>
      </c>
      <c r="J260" s="11" t="s">
        <v>965</v>
      </c>
      <c r="K260" s="11" t="s">
        <v>122</v>
      </c>
      <c r="L260" s="14"/>
      <c r="M260" s="15"/>
      <c r="N260" s="9">
        <v>0.0</v>
      </c>
      <c r="O260" s="16"/>
    </row>
    <row r="261" ht="22.5" customHeight="1">
      <c r="A261" s="10" t="str">
        <f t="shared" si="1"/>
        <v>1/2026</v>
      </c>
      <c r="B261" s="10">
        <v>46025.75785550926</v>
      </c>
      <c r="C261" s="11" t="s">
        <v>115</v>
      </c>
      <c r="D261" s="11" t="s">
        <v>1161</v>
      </c>
      <c r="E261" s="12" t="s">
        <v>1162</v>
      </c>
      <c r="F261" s="11" t="s">
        <v>118</v>
      </c>
      <c r="G261" s="11" t="s">
        <v>178</v>
      </c>
      <c r="H261" s="11" t="s">
        <v>36</v>
      </c>
      <c r="I261" s="11" t="s">
        <v>1163</v>
      </c>
      <c r="J261" s="11" t="s">
        <v>965</v>
      </c>
      <c r="K261" s="11" t="s">
        <v>122</v>
      </c>
      <c r="L261" s="14"/>
      <c r="M261" s="15"/>
      <c r="N261" s="9">
        <v>150000.0</v>
      </c>
      <c r="O261" s="16"/>
    </row>
    <row r="262" ht="22.5" customHeight="1">
      <c r="A262" s="10" t="str">
        <f t="shared" si="1"/>
        <v>1/2026</v>
      </c>
      <c r="B262" s="10">
        <v>46026.82129548611</v>
      </c>
      <c r="C262" s="11" t="s">
        <v>239</v>
      </c>
      <c r="D262" s="11" t="s">
        <v>1164</v>
      </c>
      <c r="E262" s="12" t="s">
        <v>1165</v>
      </c>
      <c r="F262" s="11" t="s">
        <v>242</v>
      </c>
      <c r="G262" s="11">
        <v>3626.0</v>
      </c>
      <c r="H262" s="11" t="s">
        <v>20</v>
      </c>
      <c r="I262" s="11" t="s">
        <v>1166</v>
      </c>
      <c r="J262" s="11" t="s">
        <v>1167</v>
      </c>
      <c r="K262" s="11">
        <v>1.86825082100022E14</v>
      </c>
      <c r="L262" s="14"/>
      <c r="M262" s="15"/>
      <c r="N262" s="9">
        <v>300000.0</v>
      </c>
      <c r="O262" s="16"/>
    </row>
    <row r="263" ht="22.5" customHeight="1">
      <c r="A263" s="10" t="str">
        <f t="shared" si="1"/>
        <v>1/2026</v>
      </c>
      <c r="B263" s="10">
        <v>46027.41568877315</v>
      </c>
      <c r="C263" s="11" t="s">
        <v>386</v>
      </c>
      <c r="D263" s="11" t="s">
        <v>1168</v>
      </c>
      <c r="E263" s="12" t="s">
        <v>1169</v>
      </c>
      <c r="F263" s="11" t="s">
        <v>18</v>
      </c>
      <c r="G263" s="11" t="s">
        <v>589</v>
      </c>
      <c r="H263" s="11" t="s">
        <v>20</v>
      </c>
      <c r="I263" s="13" t="s">
        <v>1170</v>
      </c>
      <c r="J263" s="11" t="s">
        <v>1171</v>
      </c>
      <c r="K263" s="11">
        <v>1.85825082200004E14</v>
      </c>
      <c r="L263" s="14"/>
      <c r="M263" s="15"/>
      <c r="N263" s="9">
        <v>250000.0</v>
      </c>
      <c r="O263" s="16"/>
    </row>
    <row r="264" ht="22.5" customHeight="1">
      <c r="A264" s="10" t="str">
        <f t="shared" si="1"/>
        <v>1/2026</v>
      </c>
      <c r="B264" s="10">
        <v>46027.41758152778</v>
      </c>
      <c r="C264" s="11" t="s">
        <v>386</v>
      </c>
      <c r="D264" s="11" t="s">
        <v>1172</v>
      </c>
      <c r="E264" s="12" t="s">
        <v>1173</v>
      </c>
      <c r="F264" s="11" t="s">
        <v>18</v>
      </c>
      <c r="G264" s="11" t="s">
        <v>1174</v>
      </c>
      <c r="H264" s="11" t="s">
        <v>36</v>
      </c>
      <c r="I264" s="11" t="s">
        <v>1175</v>
      </c>
      <c r="J264" s="11" t="s">
        <v>1176</v>
      </c>
      <c r="K264" s="11">
        <v>1.39822102000166E14</v>
      </c>
      <c r="L264" s="14"/>
      <c r="M264" s="15"/>
      <c r="N264" s="9">
        <v>120000.0</v>
      </c>
      <c r="O264" s="16"/>
    </row>
    <row r="265" ht="22.5" customHeight="1">
      <c r="A265" s="23" t="str">
        <f t="shared" si="1"/>
        <v>12/2025</v>
      </c>
      <c r="B265" s="23">
        <v>46008.0</v>
      </c>
      <c r="C265" s="11" t="s">
        <v>408</v>
      </c>
      <c r="D265" s="11" t="s">
        <v>1177</v>
      </c>
      <c r="E265" s="12" t="s">
        <v>1178</v>
      </c>
      <c r="F265" s="11" t="s">
        <v>118</v>
      </c>
      <c r="G265" s="11">
        <v>5840.0</v>
      </c>
      <c r="H265" s="11" t="s">
        <v>44</v>
      </c>
      <c r="I265" s="11" t="s">
        <v>1179</v>
      </c>
      <c r="J265" s="11" t="s">
        <v>1180</v>
      </c>
      <c r="K265" s="11">
        <v>1.83825082100139E14</v>
      </c>
      <c r="L265" s="14"/>
      <c r="M265" s="15"/>
      <c r="N265" s="16"/>
      <c r="O265" s="16"/>
    </row>
    <row r="266" ht="22.5" customHeight="1">
      <c r="A266" s="10" t="str">
        <f t="shared" si="1"/>
        <v>1/2026</v>
      </c>
      <c r="B266" s="10">
        <v>46027.58315239583</v>
      </c>
      <c r="C266" s="11" t="s">
        <v>1181</v>
      </c>
      <c r="D266" s="11" t="s">
        <v>1182</v>
      </c>
      <c r="E266" s="11">
        <v>9.09578357E8</v>
      </c>
      <c r="F266" s="11" t="s">
        <v>18</v>
      </c>
      <c r="G266" s="11" t="s">
        <v>1183</v>
      </c>
      <c r="H266" s="11" t="s">
        <v>141</v>
      </c>
      <c r="I266" s="17" t="s">
        <v>1184</v>
      </c>
      <c r="J266" s="11" t="s">
        <v>1185</v>
      </c>
      <c r="K266" s="11" t="s">
        <v>1186</v>
      </c>
      <c r="L266" s="14"/>
      <c r="M266" s="15"/>
      <c r="N266" s="24">
        <v>50000.0</v>
      </c>
      <c r="O266" s="9"/>
    </row>
    <row r="267" ht="22.5" customHeight="1">
      <c r="A267" s="10" t="str">
        <f t="shared" si="1"/>
        <v>1/2026</v>
      </c>
      <c r="B267" s="10">
        <v>46027.699210555555</v>
      </c>
      <c r="C267" s="11" t="s">
        <v>1181</v>
      </c>
      <c r="D267" s="11" t="s">
        <v>1187</v>
      </c>
      <c r="E267" s="12" t="s">
        <v>1188</v>
      </c>
      <c r="F267" s="11" t="s">
        <v>18</v>
      </c>
      <c r="G267" s="11" t="s">
        <v>1189</v>
      </c>
      <c r="H267" s="11" t="s">
        <v>141</v>
      </c>
      <c r="I267" s="17" t="s">
        <v>1190</v>
      </c>
      <c r="J267" s="11" t="s">
        <v>1191</v>
      </c>
      <c r="K267" s="11" t="s">
        <v>1189</v>
      </c>
      <c r="L267" s="14"/>
      <c r="M267" s="15"/>
      <c r="N267" s="24">
        <v>50000.0</v>
      </c>
      <c r="O267" s="9"/>
    </row>
    <row r="268" ht="22.5" customHeight="1">
      <c r="A268" s="10" t="str">
        <f t="shared" si="1"/>
        <v>1/2026</v>
      </c>
      <c r="B268" s="10">
        <v>46027.83252260416</v>
      </c>
      <c r="C268" s="11" t="s">
        <v>386</v>
      </c>
      <c r="D268" s="11" t="s">
        <v>1192</v>
      </c>
      <c r="E268" s="12" t="s">
        <v>1193</v>
      </c>
      <c r="F268" s="11" t="s">
        <v>18</v>
      </c>
      <c r="G268" s="11" t="s">
        <v>760</v>
      </c>
      <c r="H268" s="11" t="s">
        <v>36</v>
      </c>
      <c r="I268" s="11" t="s">
        <v>1194</v>
      </c>
      <c r="J268" s="11" t="s">
        <v>1195</v>
      </c>
      <c r="K268" s="11">
        <v>1.19824062700246E14</v>
      </c>
      <c r="L268" s="14"/>
      <c r="M268" s="15"/>
      <c r="N268" s="9">
        <v>120000.0</v>
      </c>
      <c r="O268" s="16"/>
    </row>
    <row r="269" ht="22.5" customHeight="1">
      <c r="A269" s="10" t="str">
        <f t="shared" si="1"/>
        <v>1/2026</v>
      </c>
      <c r="B269" s="10">
        <v>46027.83432818287</v>
      </c>
      <c r="C269" s="11" t="s">
        <v>386</v>
      </c>
      <c r="D269" s="11" t="s">
        <v>147</v>
      </c>
      <c r="E269" s="12" t="s">
        <v>1196</v>
      </c>
      <c r="F269" s="11" t="s">
        <v>18</v>
      </c>
      <c r="G269" s="11" t="s">
        <v>250</v>
      </c>
      <c r="H269" s="11" t="s">
        <v>36</v>
      </c>
      <c r="I269" s="11" t="s">
        <v>1197</v>
      </c>
      <c r="J269" s="11" t="s">
        <v>1198</v>
      </c>
      <c r="K269" s="11">
        <v>1.39823091200072E14</v>
      </c>
      <c r="L269" s="14"/>
      <c r="M269" s="15"/>
      <c r="N269" s="9">
        <v>120000.0</v>
      </c>
      <c r="O269" s="16"/>
    </row>
    <row r="270" ht="22.5" customHeight="1">
      <c r="A270" s="10" t="str">
        <f t="shared" si="1"/>
        <v>1/2026</v>
      </c>
      <c r="B270" s="10">
        <v>46027.83607765046</v>
      </c>
      <c r="C270" s="11" t="s">
        <v>386</v>
      </c>
      <c r="D270" s="11" t="s">
        <v>1199</v>
      </c>
      <c r="E270" s="12" t="s">
        <v>1200</v>
      </c>
      <c r="F270" s="11" t="s">
        <v>18</v>
      </c>
      <c r="G270" s="11" t="s">
        <v>703</v>
      </c>
      <c r="H270" s="11" t="s">
        <v>36</v>
      </c>
      <c r="I270" s="11" t="s">
        <v>1201</v>
      </c>
      <c r="J270" s="11" t="s">
        <v>1202</v>
      </c>
      <c r="K270" s="11">
        <v>8.92821080500188E14</v>
      </c>
      <c r="L270" s="14"/>
      <c r="M270" s="15"/>
      <c r="N270" s="9">
        <v>120000.0</v>
      </c>
      <c r="O270" s="16"/>
    </row>
    <row r="271" ht="22.5" customHeight="1">
      <c r="A271" s="10" t="str">
        <f t="shared" si="1"/>
        <v>1/2026</v>
      </c>
      <c r="B271" s="10">
        <v>46028.62057337963</v>
      </c>
      <c r="C271" s="11" t="s">
        <v>308</v>
      </c>
      <c r="D271" s="11" t="s">
        <v>1203</v>
      </c>
      <c r="E271" s="12" t="s">
        <v>1204</v>
      </c>
      <c r="F271" s="11" t="s">
        <v>106</v>
      </c>
      <c r="G271" s="11" t="s">
        <v>774</v>
      </c>
      <c r="H271" s="11" t="s">
        <v>36</v>
      </c>
      <c r="I271" s="11" t="s">
        <v>1205</v>
      </c>
      <c r="J271" s="11" t="s">
        <v>1206</v>
      </c>
      <c r="K271" s="11">
        <v>1.39824091100099E14</v>
      </c>
      <c r="L271" s="14"/>
      <c r="M271" s="21" t="s">
        <v>175</v>
      </c>
      <c r="N271" s="9">
        <v>0.0</v>
      </c>
      <c r="O271" s="9"/>
    </row>
    <row r="272" ht="22.5" customHeight="1">
      <c r="A272" s="10" t="str">
        <f t="shared" si="1"/>
        <v>1/2026</v>
      </c>
      <c r="B272" s="10">
        <v>46028.62282763889</v>
      </c>
      <c r="C272" s="11" t="s">
        <v>308</v>
      </c>
      <c r="D272" s="11" t="s">
        <v>1207</v>
      </c>
      <c r="E272" s="12" t="s">
        <v>1208</v>
      </c>
      <c r="F272" s="11" t="s">
        <v>106</v>
      </c>
      <c r="G272" s="11" t="s">
        <v>774</v>
      </c>
      <c r="H272" s="11" t="s">
        <v>36</v>
      </c>
      <c r="I272" s="11" t="s">
        <v>1209</v>
      </c>
      <c r="J272" s="11" t="s">
        <v>1210</v>
      </c>
      <c r="K272" s="11">
        <v>1.39824092700279E14</v>
      </c>
      <c r="L272" s="14"/>
      <c r="M272" s="21" t="s">
        <v>175</v>
      </c>
      <c r="N272" s="9">
        <v>0.0</v>
      </c>
      <c r="O272" s="9"/>
    </row>
    <row r="273" ht="22.5" customHeight="1">
      <c r="A273" s="10" t="str">
        <f t="shared" si="1"/>
        <v>1/2026</v>
      </c>
      <c r="B273" s="10">
        <v>46028.66206393519</v>
      </c>
      <c r="C273" s="11" t="s">
        <v>1181</v>
      </c>
      <c r="D273" s="11" t="s">
        <v>1211</v>
      </c>
      <c r="E273" s="12" t="s">
        <v>1212</v>
      </c>
      <c r="F273" s="11" t="s">
        <v>18</v>
      </c>
      <c r="G273" s="11" t="s">
        <v>1213</v>
      </c>
      <c r="H273" s="11" t="s">
        <v>141</v>
      </c>
      <c r="I273" s="17" t="s">
        <v>1214</v>
      </c>
      <c r="J273" s="11" t="s">
        <v>1215</v>
      </c>
      <c r="K273" s="11">
        <v>1.85825082200032E14</v>
      </c>
      <c r="L273" s="14"/>
      <c r="M273" s="15"/>
      <c r="N273" s="24">
        <v>50000.0</v>
      </c>
      <c r="O273" s="9"/>
    </row>
    <row r="274" ht="22.5" customHeight="1">
      <c r="A274" s="10" t="str">
        <f t="shared" si="1"/>
        <v>1/2026</v>
      </c>
      <c r="B274" s="10">
        <v>46028.66402945602</v>
      </c>
      <c r="C274" s="11" t="s">
        <v>1181</v>
      </c>
      <c r="D274" s="11" t="s">
        <v>1216</v>
      </c>
      <c r="E274" s="12" t="s">
        <v>1217</v>
      </c>
      <c r="F274" s="11" t="s">
        <v>191</v>
      </c>
      <c r="G274" s="11" t="s">
        <v>1218</v>
      </c>
      <c r="H274" s="11" t="s">
        <v>141</v>
      </c>
      <c r="I274" s="11" t="s">
        <v>1219</v>
      </c>
      <c r="J274" s="11" t="s">
        <v>1220</v>
      </c>
      <c r="K274" s="11" t="s">
        <v>1221</v>
      </c>
      <c r="L274" s="14"/>
      <c r="M274" s="15"/>
      <c r="N274" s="24">
        <v>50000.0</v>
      </c>
      <c r="O274" s="9"/>
    </row>
    <row r="275" ht="22.5" customHeight="1">
      <c r="A275" s="10" t="str">
        <f t="shared" si="1"/>
        <v>1/2026</v>
      </c>
      <c r="B275" s="10">
        <v>46028.80599334491</v>
      </c>
      <c r="C275" s="11" t="s">
        <v>386</v>
      </c>
      <c r="D275" s="11" t="s">
        <v>1222</v>
      </c>
      <c r="E275" s="12" t="s">
        <v>1223</v>
      </c>
      <c r="F275" s="11" t="s">
        <v>18</v>
      </c>
      <c r="G275" s="11" t="s">
        <v>229</v>
      </c>
      <c r="H275" s="11" t="s">
        <v>36</v>
      </c>
      <c r="I275" s="11" t="s">
        <v>1224</v>
      </c>
      <c r="J275" s="11" t="s">
        <v>1225</v>
      </c>
      <c r="K275" s="11">
        <v>8.92820072100052E14</v>
      </c>
      <c r="L275" s="14"/>
      <c r="M275" s="15"/>
      <c r="N275" s="9">
        <v>120000.0</v>
      </c>
      <c r="O275" s="16"/>
    </row>
    <row r="276" ht="22.5" customHeight="1">
      <c r="A276" s="10" t="str">
        <f t="shared" si="1"/>
        <v>1/2026</v>
      </c>
      <c r="B276" s="10">
        <v>46028.80803153935</v>
      </c>
      <c r="C276" s="11" t="s">
        <v>386</v>
      </c>
      <c r="D276" s="11" t="s">
        <v>1226</v>
      </c>
      <c r="E276" s="12" t="s">
        <v>1227</v>
      </c>
      <c r="F276" s="11" t="s">
        <v>18</v>
      </c>
      <c r="G276" s="11" t="s">
        <v>1228</v>
      </c>
      <c r="H276" s="11" t="s">
        <v>36</v>
      </c>
      <c r="I276" s="11" t="s">
        <v>1229</v>
      </c>
      <c r="J276" s="11" t="s">
        <v>1230</v>
      </c>
      <c r="K276" s="11">
        <v>1.39823091200314E14</v>
      </c>
      <c r="L276" s="14"/>
      <c r="M276" s="15"/>
      <c r="N276" s="9">
        <v>120000.0</v>
      </c>
      <c r="O276" s="16"/>
    </row>
    <row r="277" ht="22.5" customHeight="1">
      <c r="A277" s="10" t="str">
        <f t="shared" si="1"/>
        <v>1/2026</v>
      </c>
      <c r="B277" s="10">
        <v>46029.493426967594</v>
      </c>
      <c r="C277" s="11" t="s">
        <v>56</v>
      </c>
      <c r="D277" s="11" t="s">
        <v>1231</v>
      </c>
      <c r="E277" s="12" t="s">
        <v>1232</v>
      </c>
      <c r="F277" s="11" t="s">
        <v>18</v>
      </c>
      <c r="G277" s="11" t="s">
        <v>1016</v>
      </c>
      <c r="H277" s="11" t="s">
        <v>36</v>
      </c>
      <c r="I277" s="11" t="s">
        <v>1233</v>
      </c>
      <c r="J277" s="11" t="s">
        <v>55</v>
      </c>
      <c r="K277" s="11">
        <v>1.39823091200444E14</v>
      </c>
      <c r="L277" s="14"/>
      <c r="M277" s="21" t="s">
        <v>175</v>
      </c>
      <c r="N277" s="9">
        <v>0.0</v>
      </c>
      <c r="O277" s="9"/>
    </row>
    <row r="278" ht="22.5" customHeight="1">
      <c r="A278" s="10" t="str">
        <f t="shared" si="1"/>
        <v>1/2026</v>
      </c>
      <c r="B278" s="10">
        <v>46029.71700506944</v>
      </c>
      <c r="C278" s="11" t="s">
        <v>115</v>
      </c>
      <c r="D278" s="11" t="s">
        <v>1234</v>
      </c>
      <c r="E278" s="12" t="s">
        <v>1130</v>
      </c>
      <c r="F278" s="11" t="s">
        <v>118</v>
      </c>
      <c r="G278" s="11">
        <v>5840.0</v>
      </c>
      <c r="H278" s="11" t="s">
        <v>141</v>
      </c>
      <c r="I278" s="17" t="s">
        <v>1235</v>
      </c>
      <c r="J278" s="11" t="s">
        <v>1236</v>
      </c>
      <c r="K278" s="11" t="s">
        <v>122</v>
      </c>
      <c r="L278" s="14"/>
      <c r="M278" s="15"/>
      <c r="N278" s="9">
        <v>50000.0</v>
      </c>
      <c r="O278" s="16"/>
    </row>
    <row r="279" ht="22.5" customHeight="1">
      <c r="A279" s="10" t="str">
        <f t="shared" si="1"/>
        <v>1/2026</v>
      </c>
      <c r="B279" s="10">
        <v>46029.8439704051</v>
      </c>
      <c r="C279" s="11" t="s">
        <v>386</v>
      </c>
      <c r="D279" s="11" t="s">
        <v>1237</v>
      </c>
      <c r="E279" s="12" t="s">
        <v>1238</v>
      </c>
      <c r="F279" s="11" t="s">
        <v>18</v>
      </c>
      <c r="G279" s="11" t="s">
        <v>577</v>
      </c>
      <c r="H279" s="11" t="s">
        <v>20</v>
      </c>
      <c r="I279" s="11" t="s">
        <v>1239</v>
      </c>
      <c r="J279" s="11" t="s">
        <v>1240</v>
      </c>
      <c r="K279" s="11">
        <v>1.8482508210025E14</v>
      </c>
      <c r="L279" s="14"/>
      <c r="M279" s="15"/>
      <c r="N279" s="9">
        <v>250000.0</v>
      </c>
      <c r="O279" s="16">
        <f>14*3000</f>
        <v>42000</v>
      </c>
    </row>
    <row r="280" ht="22.5" customHeight="1">
      <c r="A280" s="10" t="str">
        <f t="shared" si="1"/>
        <v>1/2026</v>
      </c>
      <c r="B280" s="10">
        <v>46029.84549987268</v>
      </c>
      <c r="C280" s="11" t="s">
        <v>386</v>
      </c>
      <c r="D280" s="11" t="s">
        <v>413</v>
      </c>
      <c r="E280" s="12" t="s">
        <v>414</v>
      </c>
      <c r="F280" s="11" t="s">
        <v>18</v>
      </c>
      <c r="G280" s="11" t="s">
        <v>229</v>
      </c>
      <c r="H280" s="11" t="s">
        <v>36</v>
      </c>
      <c r="I280" s="11" t="s">
        <v>1241</v>
      </c>
      <c r="J280" s="11" t="s">
        <v>1242</v>
      </c>
      <c r="K280" s="11">
        <v>1.19823021300189E14</v>
      </c>
      <c r="L280" s="14"/>
      <c r="M280" s="15"/>
      <c r="N280" s="9">
        <v>120000.0</v>
      </c>
      <c r="O280" s="16"/>
    </row>
    <row r="281" ht="22.5" customHeight="1">
      <c r="A281" s="10" t="str">
        <f t="shared" si="1"/>
        <v>1/2026</v>
      </c>
      <c r="B281" s="10">
        <v>46030.46938361111</v>
      </c>
      <c r="C281" s="11" t="s">
        <v>103</v>
      </c>
      <c r="D281" s="11" t="s">
        <v>1243</v>
      </c>
      <c r="E281" s="12" t="s">
        <v>1244</v>
      </c>
      <c r="F281" s="11" t="s">
        <v>106</v>
      </c>
      <c r="G281" s="11" t="s">
        <v>470</v>
      </c>
      <c r="H281" s="11" t="s">
        <v>36</v>
      </c>
      <c r="I281" s="11" t="s">
        <v>1245</v>
      </c>
      <c r="J281" s="11" t="s">
        <v>1246</v>
      </c>
      <c r="K281" s="11">
        <v>1.39823030200497E14</v>
      </c>
      <c r="L281" s="14"/>
      <c r="M281" s="15"/>
      <c r="N281" s="9">
        <v>0.0</v>
      </c>
      <c r="O281" s="16"/>
    </row>
    <row r="282" ht="22.5" customHeight="1">
      <c r="A282" s="10" t="str">
        <f t="shared" si="1"/>
        <v>1/2026</v>
      </c>
      <c r="B282" s="10">
        <v>46030.754618645835</v>
      </c>
      <c r="C282" s="11" t="s">
        <v>115</v>
      </c>
      <c r="D282" s="11" t="s">
        <v>1247</v>
      </c>
      <c r="E282" s="12" t="s">
        <v>1248</v>
      </c>
      <c r="F282" s="11" t="s">
        <v>118</v>
      </c>
      <c r="G282" s="11" t="s">
        <v>1249</v>
      </c>
      <c r="H282" s="11" t="s">
        <v>36</v>
      </c>
      <c r="I282" s="11" t="s">
        <v>1250</v>
      </c>
      <c r="J282" s="11" t="s">
        <v>781</v>
      </c>
      <c r="K282" s="11" t="s">
        <v>122</v>
      </c>
      <c r="L282" s="14"/>
      <c r="M282" s="15"/>
      <c r="N282" s="9">
        <v>150000.0</v>
      </c>
      <c r="O282" s="16"/>
    </row>
    <row r="283" ht="22.5" customHeight="1">
      <c r="A283" s="10" t="str">
        <f t="shared" si="1"/>
        <v>1/2026</v>
      </c>
      <c r="B283" s="10">
        <v>46031.6552631713</v>
      </c>
      <c r="C283" s="11" t="s">
        <v>386</v>
      </c>
      <c r="D283" s="11" t="s">
        <v>1251</v>
      </c>
      <c r="E283" s="12" t="s">
        <v>947</v>
      </c>
      <c r="F283" s="11" t="s">
        <v>18</v>
      </c>
      <c r="G283" s="11" t="s">
        <v>1252</v>
      </c>
      <c r="H283" s="11" t="s">
        <v>721</v>
      </c>
      <c r="I283" s="11" t="s">
        <v>1253</v>
      </c>
      <c r="J283" s="11" t="s">
        <v>1254</v>
      </c>
      <c r="K283" s="11">
        <v>1.8582502200095E13</v>
      </c>
      <c r="L283" s="14"/>
      <c r="M283" s="15"/>
      <c r="N283" s="9">
        <v>120000.0</v>
      </c>
      <c r="O283" s="16"/>
    </row>
    <row r="284" ht="22.5" customHeight="1">
      <c r="A284" s="10" t="str">
        <f t="shared" si="1"/>
        <v>1/2026</v>
      </c>
      <c r="B284" s="10">
        <v>46031.65819590278</v>
      </c>
      <c r="C284" s="11" t="s">
        <v>386</v>
      </c>
      <c r="D284" s="11" t="s">
        <v>1255</v>
      </c>
      <c r="E284" s="11" t="s">
        <v>1256</v>
      </c>
      <c r="F284" s="11" t="s">
        <v>18</v>
      </c>
      <c r="G284" s="11" t="s">
        <v>1257</v>
      </c>
      <c r="H284" s="11" t="s">
        <v>36</v>
      </c>
      <c r="I284" s="11" t="s">
        <v>1258</v>
      </c>
      <c r="J284" s="11" t="s">
        <v>1259</v>
      </c>
      <c r="K284" s="11">
        <v>1.39822120800253E14</v>
      </c>
      <c r="L284" s="14"/>
      <c r="M284" s="15"/>
      <c r="N284" s="9">
        <v>120000.0</v>
      </c>
      <c r="O284" s="16"/>
    </row>
    <row r="285" ht="22.5" customHeight="1">
      <c r="A285" s="10" t="str">
        <f t="shared" si="1"/>
        <v>1/2026</v>
      </c>
      <c r="B285" s="10">
        <v>46031.66000752315</v>
      </c>
      <c r="C285" s="11" t="s">
        <v>386</v>
      </c>
      <c r="D285" s="11" t="s">
        <v>1260</v>
      </c>
      <c r="E285" s="12" t="s">
        <v>1261</v>
      </c>
      <c r="F285" s="11" t="s">
        <v>18</v>
      </c>
      <c r="G285" s="11" t="s">
        <v>1262</v>
      </c>
      <c r="H285" s="11" t="s">
        <v>36</v>
      </c>
      <c r="I285" s="11" t="s">
        <v>1263</v>
      </c>
      <c r="J285" s="11" t="s">
        <v>1264</v>
      </c>
      <c r="K285" s="11">
        <v>1.39823112300262E14</v>
      </c>
      <c r="L285" s="14"/>
      <c r="M285" s="15"/>
      <c r="N285" s="9">
        <v>120000.0</v>
      </c>
      <c r="O285" s="16"/>
    </row>
    <row r="286" ht="22.5" customHeight="1">
      <c r="A286" s="10" t="str">
        <f t="shared" si="1"/>
        <v>1/2026</v>
      </c>
      <c r="B286" s="10">
        <v>46031.66177304398</v>
      </c>
      <c r="C286" s="11" t="s">
        <v>386</v>
      </c>
      <c r="D286" s="11" t="s">
        <v>1265</v>
      </c>
      <c r="E286" s="12" t="s">
        <v>1266</v>
      </c>
      <c r="F286" s="11" t="s">
        <v>18</v>
      </c>
      <c r="G286" s="11" t="s">
        <v>1262</v>
      </c>
      <c r="H286" s="11" t="s">
        <v>36</v>
      </c>
      <c r="I286" s="11" t="s">
        <v>1267</v>
      </c>
      <c r="J286" s="11" t="s">
        <v>1268</v>
      </c>
      <c r="K286" s="11">
        <v>1.39823091200091E14</v>
      </c>
      <c r="L286" s="14"/>
      <c r="M286" s="15"/>
      <c r="N286" s="9">
        <v>120000.0</v>
      </c>
      <c r="O286" s="16"/>
    </row>
    <row r="287" ht="22.5" customHeight="1">
      <c r="A287" s="10" t="str">
        <f t="shared" si="1"/>
        <v>1/2026</v>
      </c>
      <c r="B287" s="10">
        <v>46032.82649016204</v>
      </c>
      <c r="C287" s="11" t="s">
        <v>115</v>
      </c>
      <c r="D287" s="11" t="s">
        <v>1269</v>
      </c>
      <c r="E287" s="11" t="s">
        <v>1270</v>
      </c>
      <c r="F287" s="11" t="s">
        <v>118</v>
      </c>
      <c r="G287" s="11" t="s">
        <v>1271</v>
      </c>
      <c r="H287" s="11" t="s">
        <v>141</v>
      </c>
      <c r="I287" s="17" t="s">
        <v>1272</v>
      </c>
      <c r="J287" s="11" t="s">
        <v>1273</v>
      </c>
      <c r="K287" s="11" t="s">
        <v>122</v>
      </c>
      <c r="L287" s="14"/>
      <c r="M287" s="15"/>
      <c r="N287" s="9">
        <v>0.0</v>
      </c>
      <c r="O287" s="16"/>
    </row>
    <row r="288" ht="22.5" customHeight="1">
      <c r="A288" s="10" t="str">
        <f t="shared" si="1"/>
        <v>1/2026</v>
      </c>
      <c r="B288" s="10">
        <v>46032.82935210648</v>
      </c>
      <c r="C288" s="11" t="s">
        <v>115</v>
      </c>
      <c r="D288" s="11" t="s">
        <v>1274</v>
      </c>
      <c r="E288" s="12" t="s">
        <v>1275</v>
      </c>
      <c r="F288" s="11" t="s">
        <v>118</v>
      </c>
      <c r="G288" s="11" t="s">
        <v>1276</v>
      </c>
      <c r="H288" s="11" t="s">
        <v>20</v>
      </c>
      <c r="I288" s="11" t="s">
        <v>1277</v>
      </c>
      <c r="J288" s="11" t="s">
        <v>1278</v>
      </c>
      <c r="K288" s="11">
        <v>1.85825082200072E14</v>
      </c>
      <c r="L288" s="14"/>
      <c r="M288" s="15"/>
      <c r="N288" s="9">
        <v>0.0</v>
      </c>
      <c r="O288" s="16"/>
    </row>
    <row r="289" ht="22.5" customHeight="1">
      <c r="A289" s="10" t="str">
        <f t="shared" si="1"/>
        <v>1/2026</v>
      </c>
      <c r="B289" s="10">
        <v>46033.675876180554</v>
      </c>
      <c r="C289" s="11" t="s">
        <v>115</v>
      </c>
      <c r="D289" s="11" t="s">
        <v>1279</v>
      </c>
      <c r="E289" s="12" t="s">
        <v>1280</v>
      </c>
      <c r="F289" s="11" t="s">
        <v>118</v>
      </c>
      <c r="G289" s="11" t="s">
        <v>1281</v>
      </c>
      <c r="H289" s="11" t="s">
        <v>36</v>
      </c>
      <c r="I289" s="11" t="s">
        <v>1282</v>
      </c>
      <c r="J289" s="11" t="s">
        <v>965</v>
      </c>
      <c r="K289" s="11" t="s">
        <v>122</v>
      </c>
      <c r="L289" s="14"/>
      <c r="M289" s="15"/>
      <c r="N289" s="9">
        <v>0.0</v>
      </c>
      <c r="O289" s="16"/>
    </row>
    <row r="290" ht="22.5" customHeight="1">
      <c r="A290" s="10" t="str">
        <f t="shared" si="1"/>
        <v>1/2026</v>
      </c>
      <c r="B290" s="10">
        <v>46033.67754150463</v>
      </c>
      <c r="C290" s="11" t="s">
        <v>115</v>
      </c>
      <c r="D290" s="11" t="s">
        <v>1283</v>
      </c>
      <c r="E290" s="12" t="s">
        <v>1284</v>
      </c>
      <c r="F290" s="11" t="s">
        <v>118</v>
      </c>
      <c r="G290" s="11" t="s">
        <v>178</v>
      </c>
      <c r="H290" s="11" t="s">
        <v>36</v>
      </c>
      <c r="I290" s="11" t="s">
        <v>1285</v>
      </c>
      <c r="J290" s="11" t="s">
        <v>965</v>
      </c>
      <c r="K290" s="11" t="s">
        <v>122</v>
      </c>
      <c r="L290" s="14"/>
      <c r="M290" s="15"/>
      <c r="N290" s="9">
        <v>0.0</v>
      </c>
      <c r="O290" s="16"/>
    </row>
    <row r="291" ht="22.5" customHeight="1">
      <c r="A291" s="10" t="str">
        <f t="shared" si="1"/>
        <v>1/2026</v>
      </c>
      <c r="B291" s="10">
        <v>46033.68092825232</v>
      </c>
      <c r="C291" s="11" t="s">
        <v>115</v>
      </c>
      <c r="D291" s="11" t="s">
        <v>72</v>
      </c>
      <c r="E291" s="12" t="s">
        <v>1286</v>
      </c>
      <c r="F291" s="11" t="s">
        <v>118</v>
      </c>
      <c r="G291" s="11" t="s">
        <v>1287</v>
      </c>
      <c r="H291" s="11" t="s">
        <v>36</v>
      </c>
      <c r="I291" s="11" t="s">
        <v>1288</v>
      </c>
      <c r="J291" s="11" t="s">
        <v>965</v>
      </c>
      <c r="K291" s="11" t="s">
        <v>122</v>
      </c>
      <c r="L291" s="14"/>
      <c r="M291" s="15"/>
      <c r="N291" s="9">
        <v>0.0</v>
      </c>
      <c r="O291" s="16"/>
    </row>
    <row r="292" ht="22.5" customHeight="1">
      <c r="A292" s="10" t="str">
        <f t="shared" si="1"/>
        <v>1/2026</v>
      </c>
      <c r="B292" s="10">
        <v>46033.68222820602</v>
      </c>
      <c r="C292" s="11" t="s">
        <v>115</v>
      </c>
      <c r="D292" s="11" t="s">
        <v>1289</v>
      </c>
      <c r="E292" s="12" t="s">
        <v>1290</v>
      </c>
      <c r="F292" s="11" t="s">
        <v>118</v>
      </c>
      <c r="G292" s="11" t="s">
        <v>1291</v>
      </c>
      <c r="H292" s="11" t="s">
        <v>36</v>
      </c>
      <c r="I292" s="11" t="s">
        <v>1292</v>
      </c>
      <c r="J292" s="11" t="s">
        <v>965</v>
      </c>
      <c r="K292" s="11" t="s">
        <v>122</v>
      </c>
      <c r="L292" s="14"/>
      <c r="M292" s="15"/>
      <c r="N292" s="9">
        <v>0.0</v>
      </c>
      <c r="O292" s="16"/>
    </row>
    <row r="293" ht="22.5" customHeight="1">
      <c r="A293" s="10" t="str">
        <f t="shared" si="1"/>
        <v>1/2026</v>
      </c>
      <c r="B293" s="10">
        <v>46033.68338671296</v>
      </c>
      <c r="C293" s="11" t="s">
        <v>115</v>
      </c>
      <c r="D293" s="11" t="s">
        <v>1293</v>
      </c>
      <c r="E293" s="12" t="s">
        <v>1294</v>
      </c>
      <c r="F293" s="11" t="s">
        <v>118</v>
      </c>
      <c r="G293" s="11" t="s">
        <v>1295</v>
      </c>
      <c r="H293" s="11" t="s">
        <v>36</v>
      </c>
      <c r="I293" s="11" t="s">
        <v>1296</v>
      </c>
      <c r="J293" s="11" t="s">
        <v>965</v>
      </c>
      <c r="K293" s="11" t="s">
        <v>122</v>
      </c>
      <c r="L293" s="14"/>
      <c r="M293" s="15"/>
      <c r="N293" s="9">
        <v>0.0</v>
      </c>
      <c r="O293" s="16"/>
    </row>
    <row r="294" ht="22.5" customHeight="1">
      <c r="A294" s="10" t="str">
        <f t="shared" si="1"/>
        <v>1/2026</v>
      </c>
      <c r="B294" s="10">
        <v>46033.684388194444</v>
      </c>
      <c r="C294" s="11" t="s">
        <v>115</v>
      </c>
      <c r="D294" s="11" t="s">
        <v>1297</v>
      </c>
      <c r="E294" s="12" t="s">
        <v>1298</v>
      </c>
      <c r="F294" s="11" t="s">
        <v>118</v>
      </c>
      <c r="G294" s="11" t="s">
        <v>1124</v>
      </c>
      <c r="H294" s="11" t="s">
        <v>36</v>
      </c>
      <c r="I294" s="11" t="s">
        <v>1299</v>
      </c>
      <c r="J294" s="11" t="s">
        <v>965</v>
      </c>
      <c r="K294" s="11" t="s">
        <v>122</v>
      </c>
      <c r="L294" s="14"/>
      <c r="M294" s="15"/>
      <c r="N294" s="9">
        <v>0.0</v>
      </c>
      <c r="O294" s="16"/>
    </row>
    <row r="295" ht="22.5" customHeight="1">
      <c r="A295" s="10" t="str">
        <f t="shared" si="1"/>
        <v>1/2026</v>
      </c>
      <c r="B295" s="10">
        <v>46033.68544541667</v>
      </c>
      <c r="C295" s="11" t="s">
        <v>115</v>
      </c>
      <c r="D295" s="11" t="s">
        <v>792</v>
      </c>
      <c r="E295" s="12" t="s">
        <v>1300</v>
      </c>
      <c r="F295" s="11" t="s">
        <v>118</v>
      </c>
      <c r="G295" s="11" t="s">
        <v>1287</v>
      </c>
      <c r="H295" s="11" t="s">
        <v>36</v>
      </c>
      <c r="I295" s="11" t="s">
        <v>1301</v>
      </c>
      <c r="J295" s="11" t="s">
        <v>965</v>
      </c>
      <c r="K295" s="11" t="s">
        <v>122</v>
      </c>
      <c r="L295" s="14"/>
      <c r="M295" s="15"/>
      <c r="N295" s="9">
        <v>0.0</v>
      </c>
      <c r="O295" s="16"/>
    </row>
    <row r="296" ht="22.5" customHeight="1">
      <c r="A296" s="10" t="str">
        <f t="shared" si="1"/>
        <v>1/2026</v>
      </c>
      <c r="B296" s="10">
        <v>46033.686874074076</v>
      </c>
      <c r="C296" s="11" t="s">
        <v>115</v>
      </c>
      <c r="D296" s="11" t="s">
        <v>72</v>
      </c>
      <c r="E296" s="12" t="s">
        <v>1302</v>
      </c>
      <c r="F296" s="11" t="s">
        <v>118</v>
      </c>
      <c r="G296" s="11" t="s">
        <v>1124</v>
      </c>
      <c r="H296" s="11" t="s">
        <v>141</v>
      </c>
      <c r="I296" s="11" t="s">
        <v>1303</v>
      </c>
      <c r="J296" s="11" t="s">
        <v>965</v>
      </c>
      <c r="K296" s="11" t="s">
        <v>122</v>
      </c>
      <c r="L296" s="14"/>
      <c r="M296" s="15"/>
      <c r="N296" s="9">
        <v>0.0</v>
      </c>
      <c r="O296" s="16"/>
    </row>
    <row r="297" ht="22.5" customHeight="1">
      <c r="A297" s="10" t="str">
        <f t="shared" si="1"/>
        <v>1/2026</v>
      </c>
      <c r="B297" s="10">
        <v>46033.845666574074</v>
      </c>
      <c r="C297" s="11" t="s">
        <v>56</v>
      </c>
      <c r="D297" s="11" t="s">
        <v>792</v>
      </c>
      <c r="E297" s="12" t="s">
        <v>1304</v>
      </c>
      <c r="F297" s="11" t="s">
        <v>18</v>
      </c>
      <c r="G297" s="11" t="s">
        <v>1305</v>
      </c>
      <c r="H297" s="11" t="s">
        <v>36</v>
      </c>
      <c r="I297" s="11" t="s">
        <v>1306</v>
      </c>
      <c r="J297" s="11" t="s">
        <v>55</v>
      </c>
      <c r="K297" s="11">
        <v>1.39824092700283E14</v>
      </c>
      <c r="L297" s="14"/>
      <c r="M297" s="15"/>
      <c r="N297" s="9">
        <v>120000.0</v>
      </c>
      <c r="O297" s="16"/>
    </row>
    <row r="298" ht="22.5" customHeight="1">
      <c r="A298" s="10" t="str">
        <f t="shared" si="1"/>
        <v>1/2026</v>
      </c>
      <c r="B298" s="10">
        <v>46033.850770185185</v>
      </c>
      <c r="C298" s="11" t="s">
        <v>56</v>
      </c>
      <c r="D298" s="11" t="s">
        <v>1307</v>
      </c>
      <c r="E298" s="12" t="s">
        <v>1308</v>
      </c>
      <c r="F298" s="11" t="s">
        <v>18</v>
      </c>
      <c r="G298" s="11" t="s">
        <v>1305</v>
      </c>
      <c r="H298" s="11" t="s">
        <v>36</v>
      </c>
      <c r="I298" s="13" t="s">
        <v>1309</v>
      </c>
      <c r="J298" s="11" t="s">
        <v>55</v>
      </c>
      <c r="K298" s="11">
        <v>1.39824092700247E14</v>
      </c>
      <c r="L298" s="14"/>
      <c r="M298" s="15"/>
      <c r="N298" s="9">
        <v>120000.0</v>
      </c>
      <c r="O298" s="16"/>
    </row>
    <row r="299" ht="22.5" customHeight="1">
      <c r="A299" s="10" t="str">
        <f t="shared" si="1"/>
        <v>1/2026</v>
      </c>
      <c r="B299" s="10">
        <v>46034.62700951389</v>
      </c>
      <c r="C299" s="11" t="s">
        <v>169</v>
      </c>
      <c r="D299" s="11" t="s">
        <v>1310</v>
      </c>
      <c r="E299" s="12" t="s">
        <v>1311</v>
      </c>
      <c r="F299" s="11" t="s">
        <v>118</v>
      </c>
      <c r="G299" s="11" t="s">
        <v>1312</v>
      </c>
      <c r="H299" s="11" t="s">
        <v>36</v>
      </c>
      <c r="I299" s="11" t="s">
        <v>1313</v>
      </c>
      <c r="J299" s="11" t="s">
        <v>1003</v>
      </c>
      <c r="K299" s="11">
        <v>1.39822102000187E14</v>
      </c>
      <c r="L299" s="14"/>
      <c r="M299" s="15"/>
      <c r="N299" s="9">
        <v>220000.0</v>
      </c>
      <c r="O299" s="16">
        <f>(60-20)*3000</f>
        <v>120000</v>
      </c>
    </row>
    <row r="300" ht="22.5" customHeight="1">
      <c r="A300" s="10" t="str">
        <f t="shared" si="1"/>
        <v>1/2026</v>
      </c>
      <c r="B300" s="10">
        <v>46034.771677627316</v>
      </c>
      <c r="C300" s="11" t="s">
        <v>115</v>
      </c>
      <c r="D300" s="11" t="s">
        <v>1314</v>
      </c>
      <c r="E300" s="12" t="s">
        <v>1315</v>
      </c>
      <c r="F300" s="11" t="s">
        <v>118</v>
      </c>
      <c r="G300" s="11" t="s">
        <v>1124</v>
      </c>
      <c r="H300" s="11" t="s">
        <v>36</v>
      </c>
      <c r="I300" s="11" t="s">
        <v>1316</v>
      </c>
      <c r="J300" s="11" t="s">
        <v>965</v>
      </c>
      <c r="K300" s="11" t="s">
        <v>122</v>
      </c>
      <c r="L300" s="14"/>
      <c r="M300" s="15"/>
      <c r="N300" s="9">
        <v>150000.0</v>
      </c>
      <c r="O300" s="16"/>
    </row>
    <row r="301" ht="22.5" customHeight="1">
      <c r="A301" s="10" t="str">
        <f t="shared" si="1"/>
        <v>1/2026</v>
      </c>
      <c r="B301" s="10">
        <v>46034.77336496528</v>
      </c>
      <c r="C301" s="11" t="s">
        <v>115</v>
      </c>
      <c r="D301" s="11" t="s">
        <v>1317</v>
      </c>
      <c r="E301" s="12" t="s">
        <v>1318</v>
      </c>
      <c r="F301" s="11" t="s">
        <v>118</v>
      </c>
      <c r="G301" s="11" t="s">
        <v>1124</v>
      </c>
      <c r="H301" s="11" t="s">
        <v>36</v>
      </c>
      <c r="I301" s="11" t="s">
        <v>1319</v>
      </c>
      <c r="J301" s="11" t="s">
        <v>965</v>
      </c>
      <c r="K301" s="11" t="s">
        <v>122</v>
      </c>
      <c r="L301" s="14"/>
      <c r="M301" s="15"/>
      <c r="N301" s="9">
        <v>150000.0</v>
      </c>
      <c r="O301" s="16"/>
    </row>
    <row r="302" ht="22.5" customHeight="1">
      <c r="A302" s="10" t="str">
        <f t="shared" si="1"/>
        <v>1/2026</v>
      </c>
      <c r="B302" s="10">
        <v>46034.86370105324</v>
      </c>
      <c r="C302" s="11" t="s">
        <v>386</v>
      </c>
      <c r="D302" s="11" t="s">
        <v>1260</v>
      </c>
      <c r="E302" s="12" t="s">
        <v>1261</v>
      </c>
      <c r="F302" s="11" t="s">
        <v>18</v>
      </c>
      <c r="G302" s="11" t="s">
        <v>1320</v>
      </c>
      <c r="H302" s="11" t="s">
        <v>36</v>
      </c>
      <c r="I302" s="11" t="s">
        <v>1321</v>
      </c>
      <c r="J302" s="11" t="s">
        <v>1171</v>
      </c>
      <c r="K302" s="11">
        <v>1.39823112300262E14</v>
      </c>
      <c r="L302" s="14"/>
      <c r="M302" s="15"/>
      <c r="N302" s="9">
        <v>120000.0</v>
      </c>
      <c r="O302" s="16"/>
    </row>
    <row r="303" ht="22.5" customHeight="1">
      <c r="A303" s="10" t="str">
        <f t="shared" si="1"/>
        <v>1/2026</v>
      </c>
      <c r="B303" s="10">
        <v>46034.86635869213</v>
      </c>
      <c r="C303" s="11" t="s">
        <v>386</v>
      </c>
      <c r="D303" s="11" t="s">
        <v>1265</v>
      </c>
      <c r="E303" s="12" t="s">
        <v>1266</v>
      </c>
      <c r="F303" s="11" t="s">
        <v>18</v>
      </c>
      <c r="G303" s="11" t="s">
        <v>1262</v>
      </c>
      <c r="H303" s="11" t="s">
        <v>36</v>
      </c>
      <c r="I303" s="11" t="s">
        <v>1322</v>
      </c>
      <c r="J303" s="11" t="s">
        <v>1323</v>
      </c>
      <c r="K303" s="11">
        <v>1.39823091200091E14</v>
      </c>
      <c r="L303" s="14"/>
      <c r="M303" s="15"/>
      <c r="N303" s="9">
        <v>120000.0</v>
      </c>
      <c r="O303" s="9">
        <v>135000.0</v>
      </c>
    </row>
    <row r="304" ht="22.5" customHeight="1">
      <c r="A304" s="10" t="str">
        <f t="shared" si="1"/>
        <v>1/2026</v>
      </c>
      <c r="B304" s="10">
        <v>46034.868634722225</v>
      </c>
      <c r="C304" s="11" t="s">
        <v>386</v>
      </c>
      <c r="D304" s="11" t="s">
        <v>1324</v>
      </c>
      <c r="E304" s="12" t="s">
        <v>1325</v>
      </c>
      <c r="F304" s="11" t="s">
        <v>18</v>
      </c>
      <c r="G304" s="11" t="s">
        <v>1326</v>
      </c>
      <c r="H304" s="11" t="s">
        <v>36</v>
      </c>
      <c r="I304" s="11" t="s">
        <v>1327</v>
      </c>
      <c r="J304" s="11" t="s">
        <v>781</v>
      </c>
      <c r="K304" s="11">
        <v>1.39824091100084E14</v>
      </c>
      <c r="L304" s="14"/>
      <c r="M304" s="15"/>
      <c r="N304" s="9">
        <v>120000.0</v>
      </c>
      <c r="O304" s="16"/>
    </row>
    <row r="305" ht="22.5" customHeight="1">
      <c r="A305" s="10" t="str">
        <f t="shared" si="1"/>
        <v>1/2026</v>
      </c>
      <c r="B305" s="10">
        <v>46034.870104155096</v>
      </c>
      <c r="C305" s="11" t="s">
        <v>386</v>
      </c>
      <c r="D305" s="11" t="s">
        <v>716</v>
      </c>
      <c r="E305" s="12" t="s">
        <v>1328</v>
      </c>
      <c r="F305" s="11" t="s">
        <v>18</v>
      </c>
      <c r="G305" s="11" t="s">
        <v>589</v>
      </c>
      <c r="H305" s="11" t="s">
        <v>20</v>
      </c>
      <c r="I305" s="11" t="s">
        <v>1329</v>
      </c>
      <c r="J305" s="11" t="s">
        <v>781</v>
      </c>
      <c r="K305" s="11">
        <v>1.85825082200032E14</v>
      </c>
      <c r="L305" s="14"/>
      <c r="M305" s="15"/>
      <c r="N305" s="9">
        <v>250000.0</v>
      </c>
      <c r="O305" s="16"/>
    </row>
    <row r="306" ht="22.5" customHeight="1">
      <c r="A306" s="10" t="str">
        <f t="shared" si="1"/>
        <v>1/2026</v>
      </c>
      <c r="B306" s="10">
        <v>46034.8726183449</v>
      </c>
      <c r="C306" s="11" t="s">
        <v>386</v>
      </c>
      <c r="D306" s="11" t="s">
        <v>265</v>
      </c>
      <c r="E306" s="12" t="s">
        <v>1330</v>
      </c>
      <c r="F306" s="11" t="s">
        <v>18</v>
      </c>
      <c r="G306" s="11" t="s">
        <v>339</v>
      </c>
      <c r="H306" s="11" t="s">
        <v>635</v>
      </c>
      <c r="I306" s="11" t="s">
        <v>1331</v>
      </c>
      <c r="J306" s="11" t="s">
        <v>1332</v>
      </c>
      <c r="K306" s="11">
        <v>1.86825082100179E14</v>
      </c>
      <c r="L306" s="14"/>
      <c r="M306" s="15"/>
      <c r="N306" s="9">
        <v>120000.0</v>
      </c>
      <c r="O306" s="16"/>
    </row>
    <row r="307" ht="22.5" customHeight="1">
      <c r="A307" s="10" t="str">
        <f t="shared" si="1"/>
        <v>1/2026</v>
      </c>
      <c r="B307" s="10">
        <v>46035.42385085648</v>
      </c>
      <c r="C307" s="11" t="s">
        <v>1181</v>
      </c>
      <c r="D307" s="11" t="s">
        <v>1333</v>
      </c>
      <c r="E307" s="11" t="s">
        <v>1189</v>
      </c>
      <c r="F307" s="11" t="s">
        <v>18</v>
      </c>
      <c r="G307" s="11" t="s">
        <v>1183</v>
      </c>
      <c r="H307" s="11" t="s">
        <v>141</v>
      </c>
      <c r="I307" s="17" t="s">
        <v>1334</v>
      </c>
      <c r="J307" s="11" t="s">
        <v>1335</v>
      </c>
      <c r="K307" s="11" t="s">
        <v>1189</v>
      </c>
      <c r="L307" s="14"/>
      <c r="M307" s="15"/>
      <c r="N307" s="24">
        <v>50000.0</v>
      </c>
      <c r="O307" s="9"/>
    </row>
    <row r="308" ht="22.5" customHeight="1">
      <c r="A308" s="10" t="str">
        <f t="shared" si="1"/>
        <v>1/2026</v>
      </c>
      <c r="B308" s="10">
        <v>46035.42584298611</v>
      </c>
      <c r="C308" s="11" t="s">
        <v>1181</v>
      </c>
      <c r="D308" s="11" t="s">
        <v>1336</v>
      </c>
      <c r="E308" s="11" t="s">
        <v>1189</v>
      </c>
      <c r="F308" s="11" t="s">
        <v>18</v>
      </c>
      <c r="G308" s="11" t="s">
        <v>1337</v>
      </c>
      <c r="H308" s="11" t="s">
        <v>141</v>
      </c>
      <c r="I308" s="11" t="s">
        <v>1338</v>
      </c>
      <c r="J308" s="11" t="s">
        <v>1339</v>
      </c>
      <c r="K308" s="11" t="s">
        <v>1189</v>
      </c>
      <c r="L308" s="14"/>
      <c r="M308" s="15"/>
      <c r="N308" s="24">
        <v>50000.0</v>
      </c>
      <c r="O308" s="9"/>
    </row>
    <row r="309" ht="22.5" customHeight="1">
      <c r="A309" s="10" t="str">
        <f t="shared" si="1"/>
        <v>1/2026</v>
      </c>
      <c r="B309" s="10">
        <v>46035.42756693287</v>
      </c>
      <c r="C309" s="11" t="s">
        <v>1181</v>
      </c>
      <c r="D309" s="11" t="s">
        <v>1340</v>
      </c>
      <c r="E309" s="12" t="s">
        <v>1341</v>
      </c>
      <c r="F309" s="11" t="s">
        <v>18</v>
      </c>
      <c r="G309" s="11" t="s">
        <v>1183</v>
      </c>
      <c r="H309" s="11" t="s">
        <v>141</v>
      </c>
      <c r="I309" s="17" t="s">
        <v>1342</v>
      </c>
      <c r="J309" s="11" t="s">
        <v>1343</v>
      </c>
      <c r="K309" s="11" t="s">
        <v>1189</v>
      </c>
      <c r="L309" s="14"/>
      <c r="M309" s="15"/>
      <c r="N309" s="24">
        <v>50000.0</v>
      </c>
      <c r="O309" s="9"/>
    </row>
    <row r="310" ht="22.5" customHeight="1">
      <c r="A310" s="10" t="str">
        <f t="shared" si="1"/>
        <v>1/2026</v>
      </c>
      <c r="B310" s="10">
        <v>46035.42985909722</v>
      </c>
      <c r="C310" s="11" t="s">
        <v>1181</v>
      </c>
      <c r="D310" s="11" t="s">
        <v>1344</v>
      </c>
      <c r="E310" s="11" t="s">
        <v>1189</v>
      </c>
      <c r="F310" s="11" t="s">
        <v>18</v>
      </c>
      <c r="G310" s="11" t="s">
        <v>1183</v>
      </c>
      <c r="H310" s="11" t="s">
        <v>141</v>
      </c>
      <c r="I310" s="11" t="s">
        <v>1345</v>
      </c>
      <c r="J310" s="11" t="s">
        <v>1346</v>
      </c>
      <c r="K310" s="11" t="s">
        <v>1189</v>
      </c>
      <c r="L310" s="14"/>
      <c r="M310" s="15"/>
      <c r="N310" s="24">
        <v>50000.0</v>
      </c>
      <c r="O310" s="9"/>
    </row>
    <row r="311" ht="22.5" customHeight="1">
      <c r="A311" s="10" t="str">
        <f t="shared" si="1"/>
        <v>1/2026</v>
      </c>
      <c r="B311" s="10">
        <v>46035.43176765046</v>
      </c>
      <c r="C311" s="11" t="s">
        <v>1181</v>
      </c>
      <c r="D311" s="11" t="s">
        <v>1347</v>
      </c>
      <c r="E311" s="11" t="s">
        <v>1189</v>
      </c>
      <c r="F311" s="11" t="s">
        <v>18</v>
      </c>
      <c r="G311" s="11" t="s">
        <v>1183</v>
      </c>
      <c r="H311" s="11" t="s">
        <v>141</v>
      </c>
      <c r="I311" s="11" t="s">
        <v>1348</v>
      </c>
      <c r="J311" s="11" t="s">
        <v>1349</v>
      </c>
      <c r="K311" s="11" t="s">
        <v>1189</v>
      </c>
      <c r="L311" s="14"/>
      <c r="M311" s="15"/>
      <c r="N311" s="24">
        <v>50000.0</v>
      </c>
      <c r="O311" s="9"/>
    </row>
    <row r="312" ht="22.5" customHeight="1">
      <c r="A312" s="10" t="str">
        <f t="shared" si="1"/>
        <v>1/2026</v>
      </c>
      <c r="B312" s="10">
        <v>46035.43560275463</v>
      </c>
      <c r="C312" s="11" t="s">
        <v>1181</v>
      </c>
      <c r="D312" s="11" t="s">
        <v>1350</v>
      </c>
      <c r="E312" s="12" t="s">
        <v>1351</v>
      </c>
      <c r="F312" s="11" t="s">
        <v>18</v>
      </c>
      <c r="G312" s="11" t="s">
        <v>1183</v>
      </c>
      <c r="H312" s="11" t="s">
        <v>141</v>
      </c>
      <c r="I312" s="11" t="s">
        <v>1352</v>
      </c>
      <c r="J312" s="11" t="s">
        <v>1353</v>
      </c>
      <c r="K312" s="11" t="s">
        <v>1189</v>
      </c>
      <c r="L312" s="14"/>
      <c r="M312" s="15"/>
      <c r="N312" s="24">
        <v>50000.0</v>
      </c>
      <c r="O312" s="9"/>
    </row>
    <row r="313" ht="22.5" customHeight="1">
      <c r="A313" s="10" t="str">
        <f t="shared" si="1"/>
        <v>1/2026</v>
      </c>
      <c r="B313" s="10">
        <v>46035.543041620374</v>
      </c>
      <c r="C313" s="11" t="s">
        <v>123</v>
      </c>
      <c r="D313" s="11" t="s">
        <v>1354</v>
      </c>
      <c r="E313" s="12" t="s">
        <v>1355</v>
      </c>
      <c r="F313" s="11" t="s">
        <v>18</v>
      </c>
      <c r="G313" s="11">
        <v>3626.0</v>
      </c>
      <c r="H313" s="11" t="s">
        <v>20</v>
      </c>
      <c r="I313" s="11" t="s">
        <v>1356</v>
      </c>
      <c r="J313" s="11" t="s">
        <v>1357</v>
      </c>
      <c r="K313" s="11">
        <v>1.86825082100026E14</v>
      </c>
      <c r="L313" s="14"/>
      <c r="M313" s="15"/>
      <c r="N313" s="24">
        <v>200000.0</v>
      </c>
      <c r="O313" s="16"/>
    </row>
    <row r="314" ht="22.5" customHeight="1">
      <c r="A314" s="10" t="str">
        <f t="shared" si="1"/>
        <v>1/2026</v>
      </c>
      <c r="B314" s="10">
        <v>46035.7257430787</v>
      </c>
      <c r="C314" s="11" t="s">
        <v>115</v>
      </c>
      <c r="D314" s="11" t="s">
        <v>1358</v>
      </c>
      <c r="E314" s="12" t="s">
        <v>1359</v>
      </c>
      <c r="F314" s="11" t="s">
        <v>118</v>
      </c>
      <c r="G314" s="11" t="s">
        <v>1124</v>
      </c>
      <c r="H314" s="11" t="s">
        <v>36</v>
      </c>
      <c r="I314" s="11" t="s">
        <v>1360</v>
      </c>
      <c r="J314" s="11" t="s">
        <v>965</v>
      </c>
      <c r="K314" s="11" t="s">
        <v>122</v>
      </c>
      <c r="L314" s="14"/>
      <c r="M314" s="15"/>
      <c r="N314" s="24">
        <v>0.0</v>
      </c>
      <c r="O314" s="16"/>
    </row>
    <row r="315" ht="22.5" customHeight="1">
      <c r="A315" s="10" t="str">
        <f t="shared" si="1"/>
        <v>1/2026</v>
      </c>
      <c r="B315" s="10">
        <v>46035.72690072916</v>
      </c>
      <c r="C315" s="11" t="s">
        <v>115</v>
      </c>
      <c r="D315" s="11" t="s">
        <v>1361</v>
      </c>
      <c r="E315" s="12" t="s">
        <v>1362</v>
      </c>
      <c r="F315" s="11" t="s">
        <v>118</v>
      </c>
      <c r="G315" s="11" t="s">
        <v>1363</v>
      </c>
      <c r="H315" s="11" t="s">
        <v>36</v>
      </c>
      <c r="I315" s="11" t="s">
        <v>1364</v>
      </c>
      <c r="J315" s="11" t="s">
        <v>965</v>
      </c>
      <c r="K315" s="11" t="s">
        <v>122</v>
      </c>
      <c r="L315" s="14"/>
      <c r="M315" s="15"/>
      <c r="N315" s="24">
        <v>0.0</v>
      </c>
      <c r="O315" s="16"/>
    </row>
    <row r="316" ht="22.5" customHeight="1">
      <c r="A316" s="10" t="str">
        <f t="shared" si="1"/>
        <v>1/2026</v>
      </c>
      <c r="B316" s="10">
        <v>46035.727870648145</v>
      </c>
      <c r="C316" s="11" t="s">
        <v>115</v>
      </c>
      <c r="D316" s="11" t="s">
        <v>1365</v>
      </c>
      <c r="E316" s="12" t="s">
        <v>1366</v>
      </c>
      <c r="F316" s="11" t="s">
        <v>118</v>
      </c>
      <c r="G316" s="11" t="s">
        <v>1291</v>
      </c>
      <c r="H316" s="11" t="s">
        <v>36</v>
      </c>
      <c r="I316" s="11" t="s">
        <v>1367</v>
      </c>
      <c r="J316" s="11" t="s">
        <v>965</v>
      </c>
      <c r="K316" s="11" t="s">
        <v>122</v>
      </c>
      <c r="L316" s="14"/>
      <c r="M316" s="15"/>
      <c r="N316" s="24">
        <v>0.0</v>
      </c>
      <c r="O316" s="16"/>
    </row>
    <row r="317" ht="22.5" customHeight="1">
      <c r="A317" s="10" t="str">
        <f t="shared" si="1"/>
        <v>1/2026</v>
      </c>
      <c r="B317" s="10">
        <v>46035.7305327662</v>
      </c>
      <c r="C317" s="11" t="s">
        <v>115</v>
      </c>
      <c r="D317" s="11" t="s">
        <v>1368</v>
      </c>
      <c r="E317" s="12" t="s">
        <v>1369</v>
      </c>
      <c r="F317" s="11" t="s">
        <v>1370</v>
      </c>
      <c r="G317" s="11">
        <v>5676.0</v>
      </c>
      <c r="H317" s="11" t="s">
        <v>141</v>
      </c>
      <c r="I317" s="13" t="s">
        <v>1371</v>
      </c>
      <c r="J317" s="11" t="s">
        <v>1273</v>
      </c>
      <c r="K317" s="11" t="s">
        <v>122</v>
      </c>
      <c r="L317" s="14"/>
      <c r="M317" s="15"/>
      <c r="N317" s="24">
        <v>60000.0</v>
      </c>
      <c r="O317" s="16"/>
    </row>
    <row r="318" ht="22.5" customHeight="1">
      <c r="A318" s="10" t="str">
        <f t="shared" si="1"/>
        <v>1/2026</v>
      </c>
      <c r="B318" s="10">
        <v>46035.85682072917</v>
      </c>
      <c r="C318" s="11" t="s">
        <v>39</v>
      </c>
      <c r="D318" s="11" t="s">
        <v>655</v>
      </c>
      <c r="E318" s="12" t="s">
        <v>1372</v>
      </c>
      <c r="F318" s="11" t="s">
        <v>42</v>
      </c>
      <c r="G318" s="11" t="s">
        <v>1373</v>
      </c>
      <c r="H318" s="11" t="s">
        <v>20</v>
      </c>
      <c r="I318" s="11" t="s">
        <v>1374</v>
      </c>
      <c r="J318" s="11" t="s">
        <v>1375</v>
      </c>
      <c r="K318" s="11">
        <v>1.85825082200034E14</v>
      </c>
      <c r="L318" s="14"/>
      <c r="M318" s="15"/>
      <c r="N318" s="24">
        <v>230000.0</v>
      </c>
      <c r="O318" s="16"/>
    </row>
    <row r="319" ht="22.5" customHeight="1">
      <c r="A319" s="10" t="str">
        <f t="shared" si="1"/>
        <v>1/2026</v>
      </c>
      <c r="B319" s="10">
        <v>46036.54970275463</v>
      </c>
      <c r="C319" s="11" t="s">
        <v>56</v>
      </c>
      <c r="D319" s="11" t="s">
        <v>1376</v>
      </c>
      <c r="E319" s="12" t="s">
        <v>1377</v>
      </c>
      <c r="F319" s="11" t="s">
        <v>18</v>
      </c>
      <c r="G319" s="11" t="s">
        <v>373</v>
      </c>
      <c r="H319" s="11" t="s">
        <v>36</v>
      </c>
      <c r="I319" s="11" t="s">
        <v>1378</v>
      </c>
      <c r="J319" s="11" t="s">
        <v>55</v>
      </c>
      <c r="K319" s="11">
        <v>8.9282406160039E14</v>
      </c>
      <c r="L319" s="14"/>
      <c r="M319" s="15"/>
      <c r="N319" s="24">
        <v>120000.0</v>
      </c>
      <c r="O319" s="16"/>
    </row>
    <row r="320" ht="22.5" customHeight="1">
      <c r="A320" s="10" t="str">
        <f t="shared" si="1"/>
        <v>1/2026</v>
      </c>
      <c r="B320" s="10">
        <v>46036.551849537034</v>
      </c>
      <c r="C320" s="11" t="s">
        <v>56</v>
      </c>
      <c r="D320" s="11" t="s">
        <v>1379</v>
      </c>
      <c r="E320" s="12" t="s">
        <v>1380</v>
      </c>
      <c r="F320" s="11" t="s">
        <v>18</v>
      </c>
      <c r="G320" s="11" t="s">
        <v>259</v>
      </c>
      <c r="H320" s="11" t="s">
        <v>36</v>
      </c>
      <c r="I320" s="11" t="s">
        <v>1381</v>
      </c>
      <c r="J320" s="11" t="s">
        <v>55</v>
      </c>
      <c r="K320" s="11">
        <v>1.3982312300401E13</v>
      </c>
      <c r="L320" s="14"/>
      <c r="M320" s="15"/>
      <c r="N320" s="24">
        <v>120000.0</v>
      </c>
      <c r="O320" s="16"/>
    </row>
    <row r="321" ht="22.5" customHeight="1">
      <c r="A321" s="10" t="str">
        <f t="shared" si="1"/>
        <v>1/2026</v>
      </c>
      <c r="B321" s="10">
        <v>46036.70053929398</v>
      </c>
      <c r="C321" s="11" t="s">
        <v>22</v>
      </c>
      <c r="D321" s="11" t="s">
        <v>1382</v>
      </c>
      <c r="E321" s="12" t="s">
        <v>1383</v>
      </c>
      <c r="F321" s="11" t="s">
        <v>18</v>
      </c>
      <c r="G321" s="11" t="s">
        <v>129</v>
      </c>
      <c r="H321" s="11" t="s">
        <v>36</v>
      </c>
      <c r="I321" s="11" t="s">
        <v>1384</v>
      </c>
      <c r="J321" s="11" t="s">
        <v>1385</v>
      </c>
      <c r="K321" s="11">
        <v>1.39822120800335E14</v>
      </c>
      <c r="L321" s="14"/>
      <c r="M321" s="15"/>
      <c r="N321" s="24">
        <v>120000.0</v>
      </c>
      <c r="O321" s="16"/>
    </row>
    <row r="322" ht="22.5" customHeight="1">
      <c r="A322" s="10" t="str">
        <f t="shared" si="1"/>
        <v>1/2026</v>
      </c>
      <c r="B322" s="10">
        <v>46036.70313383102</v>
      </c>
      <c r="C322" s="11" t="s">
        <v>386</v>
      </c>
      <c r="D322" s="11" t="s">
        <v>116</v>
      </c>
      <c r="E322" s="12" t="s">
        <v>1386</v>
      </c>
      <c r="F322" s="11" t="s">
        <v>18</v>
      </c>
      <c r="G322" s="11" t="s">
        <v>1387</v>
      </c>
      <c r="H322" s="11" t="s">
        <v>36</v>
      </c>
      <c r="I322" s="11" t="s">
        <v>1388</v>
      </c>
      <c r="J322" s="11" t="s">
        <v>1389</v>
      </c>
      <c r="K322" s="11">
        <v>1.19824092800036E14</v>
      </c>
      <c r="L322" s="14"/>
      <c r="M322" s="15"/>
      <c r="N322" s="24">
        <v>120000.0</v>
      </c>
      <c r="O322" s="16"/>
    </row>
    <row r="323" ht="22.5" customHeight="1">
      <c r="A323" s="10" t="str">
        <f t="shared" si="1"/>
        <v>1/2026</v>
      </c>
      <c r="B323" s="10">
        <v>46036.70554481482</v>
      </c>
      <c r="C323" s="11" t="s">
        <v>386</v>
      </c>
      <c r="D323" s="11" t="s">
        <v>1113</v>
      </c>
      <c r="E323" s="12" t="s">
        <v>1390</v>
      </c>
      <c r="F323" s="11" t="s">
        <v>18</v>
      </c>
      <c r="G323" s="11" t="s">
        <v>589</v>
      </c>
      <c r="H323" s="11" t="s">
        <v>44</v>
      </c>
      <c r="I323" s="11" t="s">
        <v>1391</v>
      </c>
      <c r="J323" s="11" t="s">
        <v>700</v>
      </c>
      <c r="K323" s="11">
        <v>1.85825082200135E14</v>
      </c>
      <c r="L323" s="14"/>
      <c r="M323" s="15"/>
      <c r="N323" s="24">
        <v>200000.0</v>
      </c>
      <c r="O323" s="16"/>
    </row>
    <row r="324" ht="22.5" customHeight="1">
      <c r="A324" s="10" t="str">
        <f t="shared" si="1"/>
        <v>1/2026</v>
      </c>
      <c r="B324" s="10">
        <v>46036.708240520835</v>
      </c>
      <c r="C324" s="11" t="s">
        <v>386</v>
      </c>
      <c r="D324" s="11" t="s">
        <v>1392</v>
      </c>
      <c r="E324" s="12" t="s">
        <v>1393</v>
      </c>
      <c r="F324" s="11" t="s">
        <v>18</v>
      </c>
      <c r="G324" s="11" t="s">
        <v>577</v>
      </c>
      <c r="H324" s="11" t="s">
        <v>20</v>
      </c>
      <c r="I324" s="11" t="s">
        <v>1394</v>
      </c>
      <c r="J324" s="11" t="s">
        <v>1395</v>
      </c>
      <c r="K324" s="11">
        <v>1.84825082100114E14</v>
      </c>
      <c r="L324" s="14"/>
      <c r="M324" s="15"/>
      <c r="N324" s="9">
        <v>250000.0</v>
      </c>
      <c r="O324" s="16"/>
    </row>
    <row r="325" ht="22.5" customHeight="1">
      <c r="A325" s="10" t="str">
        <f t="shared" si="1"/>
        <v>1/2026</v>
      </c>
      <c r="B325" s="10">
        <v>46036.710150162035</v>
      </c>
      <c r="C325" s="11" t="s">
        <v>386</v>
      </c>
      <c r="D325" s="11" t="s">
        <v>1396</v>
      </c>
      <c r="E325" s="12" t="s">
        <v>1397</v>
      </c>
      <c r="F325" s="11" t="s">
        <v>18</v>
      </c>
      <c r="G325" s="11" t="s">
        <v>589</v>
      </c>
      <c r="H325" s="11" t="s">
        <v>20</v>
      </c>
      <c r="I325" s="11" t="s">
        <v>1398</v>
      </c>
      <c r="J325" s="11" t="s">
        <v>1399</v>
      </c>
      <c r="K325" s="11">
        <v>1.85825082200127E14</v>
      </c>
      <c r="L325" s="14"/>
      <c r="M325" s="15"/>
      <c r="N325" s="24">
        <v>200000.0</v>
      </c>
      <c r="O325" s="16"/>
    </row>
    <row r="326" ht="22.5" customHeight="1">
      <c r="A326" s="10" t="str">
        <f t="shared" si="1"/>
        <v>1/2026</v>
      </c>
      <c r="B326" s="10">
        <v>46036.711654872684</v>
      </c>
      <c r="C326" s="11" t="s">
        <v>386</v>
      </c>
      <c r="D326" s="11" t="s">
        <v>1400</v>
      </c>
      <c r="E326" s="12" t="s">
        <v>1401</v>
      </c>
      <c r="F326" s="11" t="s">
        <v>18</v>
      </c>
      <c r="G326" s="11" t="s">
        <v>1402</v>
      </c>
      <c r="H326" s="11" t="s">
        <v>36</v>
      </c>
      <c r="I326" s="11" t="s">
        <v>1403</v>
      </c>
      <c r="J326" s="11" t="s">
        <v>1404</v>
      </c>
      <c r="K326" s="11">
        <v>1.19822070100131E14</v>
      </c>
      <c r="L326" s="14"/>
      <c r="M326" s="15"/>
      <c r="N326" s="24">
        <v>120000.0</v>
      </c>
      <c r="O326" s="16"/>
    </row>
    <row r="327" ht="22.5" customHeight="1">
      <c r="A327" s="10" t="str">
        <f t="shared" si="1"/>
        <v>1/2026</v>
      </c>
      <c r="B327" s="10">
        <v>46036.740519432875</v>
      </c>
      <c r="C327" s="11" t="s">
        <v>115</v>
      </c>
      <c r="D327" s="11" t="s">
        <v>1405</v>
      </c>
      <c r="E327" s="12" t="s">
        <v>1406</v>
      </c>
      <c r="F327" s="11" t="s">
        <v>118</v>
      </c>
      <c r="G327" s="11" t="s">
        <v>1291</v>
      </c>
      <c r="H327" s="11" t="s">
        <v>36</v>
      </c>
      <c r="I327" s="11" t="s">
        <v>1407</v>
      </c>
      <c r="J327" s="11" t="s">
        <v>965</v>
      </c>
      <c r="K327" s="11" t="s">
        <v>122</v>
      </c>
      <c r="L327" s="14"/>
      <c r="M327" s="15"/>
      <c r="N327" s="24">
        <v>0.0</v>
      </c>
      <c r="O327" s="16"/>
    </row>
    <row r="328" ht="22.5" customHeight="1">
      <c r="A328" s="10" t="str">
        <f t="shared" si="1"/>
        <v>1/2026</v>
      </c>
      <c r="B328" s="10">
        <v>46036.742204803246</v>
      </c>
      <c r="C328" s="11" t="s">
        <v>115</v>
      </c>
      <c r="D328" s="11" t="s">
        <v>753</v>
      </c>
      <c r="E328" s="12" t="s">
        <v>754</v>
      </c>
      <c r="F328" s="11" t="s">
        <v>118</v>
      </c>
      <c r="G328" s="11" t="s">
        <v>1408</v>
      </c>
      <c r="H328" s="11" t="s">
        <v>141</v>
      </c>
      <c r="I328" s="11" t="s">
        <v>1409</v>
      </c>
      <c r="J328" s="11" t="s">
        <v>1410</v>
      </c>
      <c r="K328" s="11" t="s">
        <v>122</v>
      </c>
      <c r="L328" s="14"/>
      <c r="M328" s="15"/>
      <c r="N328" s="24">
        <v>60000.0</v>
      </c>
      <c r="O328" s="16"/>
    </row>
    <row r="329" ht="22.5" customHeight="1">
      <c r="A329" s="10" t="str">
        <f t="shared" si="1"/>
        <v>1/2026</v>
      </c>
      <c r="B329" s="10">
        <v>46036.757853125004</v>
      </c>
      <c r="C329" s="11" t="s">
        <v>1411</v>
      </c>
      <c r="D329" s="11" t="s">
        <v>1412</v>
      </c>
      <c r="E329" s="12" t="s">
        <v>1413</v>
      </c>
      <c r="F329" s="11" t="s">
        <v>1414</v>
      </c>
      <c r="G329" s="11" t="s">
        <v>1415</v>
      </c>
      <c r="H329" s="11" t="s">
        <v>20</v>
      </c>
      <c r="I329" s="11" t="s">
        <v>1416</v>
      </c>
      <c r="J329" s="11" t="s">
        <v>1417</v>
      </c>
      <c r="K329" s="11">
        <v>1.83825082100043E14</v>
      </c>
      <c r="L329" s="14"/>
      <c r="M329" s="15"/>
      <c r="N329" s="24">
        <v>230000.0</v>
      </c>
      <c r="O329" s="16">
        <f>41*3000</f>
        <v>123000</v>
      </c>
    </row>
    <row r="330" ht="22.5" customHeight="1">
      <c r="A330" s="10" t="str">
        <f t="shared" si="1"/>
        <v>1/2026</v>
      </c>
      <c r="B330" s="10">
        <v>46036.87444179398</v>
      </c>
      <c r="C330" s="11" t="s">
        <v>56</v>
      </c>
      <c r="D330" s="11" t="s">
        <v>490</v>
      </c>
      <c r="E330" s="12" t="s">
        <v>1418</v>
      </c>
      <c r="F330" s="11" t="s">
        <v>18</v>
      </c>
      <c r="G330" s="11" t="s">
        <v>1419</v>
      </c>
      <c r="H330" s="11" t="s">
        <v>36</v>
      </c>
      <c r="I330" s="13" t="s">
        <v>1420</v>
      </c>
      <c r="J330" s="11" t="s">
        <v>55</v>
      </c>
      <c r="K330" s="11">
        <v>1.39824092700209E14</v>
      </c>
      <c r="L330" s="14"/>
      <c r="M330" s="15"/>
      <c r="N330" s="24">
        <v>120000.0</v>
      </c>
      <c r="O330" s="16"/>
    </row>
    <row r="331" ht="22.5" customHeight="1">
      <c r="A331" s="10" t="str">
        <f t="shared" si="1"/>
        <v>1/2026</v>
      </c>
      <c r="B331" s="10">
        <v>46037.44301870371</v>
      </c>
      <c r="C331" s="11" t="s">
        <v>103</v>
      </c>
      <c r="D331" s="11" t="s">
        <v>1421</v>
      </c>
      <c r="E331" s="12" t="s">
        <v>1422</v>
      </c>
      <c r="F331" s="11" t="s">
        <v>106</v>
      </c>
      <c r="G331" s="11" t="s">
        <v>906</v>
      </c>
      <c r="H331" s="11" t="s">
        <v>36</v>
      </c>
      <c r="I331" s="11" t="s">
        <v>1423</v>
      </c>
      <c r="J331" s="11" t="s">
        <v>1246</v>
      </c>
      <c r="K331" s="11">
        <v>1.39824092700547E14</v>
      </c>
      <c r="L331" s="14"/>
      <c r="M331" s="15"/>
      <c r="N331" s="24">
        <v>120000.0</v>
      </c>
      <c r="O331" s="16"/>
    </row>
    <row r="332" ht="22.5" customHeight="1">
      <c r="A332" s="10" t="str">
        <f t="shared" si="1"/>
        <v>1/2026</v>
      </c>
      <c r="B332" s="10">
        <v>46037.46004934028</v>
      </c>
      <c r="C332" s="11" t="s">
        <v>115</v>
      </c>
      <c r="D332" s="11" t="s">
        <v>1424</v>
      </c>
      <c r="E332" s="12" t="s">
        <v>1130</v>
      </c>
      <c r="F332" s="11" t="s">
        <v>118</v>
      </c>
      <c r="G332" s="11" t="s">
        <v>1425</v>
      </c>
      <c r="H332" s="11" t="s">
        <v>141</v>
      </c>
      <c r="I332" s="11" t="s">
        <v>1426</v>
      </c>
      <c r="J332" s="11" t="s">
        <v>965</v>
      </c>
      <c r="K332" s="11" t="s">
        <v>122</v>
      </c>
      <c r="L332" s="14"/>
      <c r="M332" s="15"/>
      <c r="N332" s="24">
        <v>50000.0</v>
      </c>
      <c r="O332" s="16"/>
    </row>
    <row r="333" ht="22.5" customHeight="1">
      <c r="A333" s="10" t="str">
        <f t="shared" si="1"/>
        <v>1/2026</v>
      </c>
      <c r="B333" s="10">
        <v>46037.73789674768</v>
      </c>
      <c r="C333" s="11" t="s">
        <v>56</v>
      </c>
      <c r="D333" s="11" t="s">
        <v>1427</v>
      </c>
      <c r="E333" s="12" t="s">
        <v>1428</v>
      </c>
      <c r="F333" s="11" t="s">
        <v>18</v>
      </c>
      <c r="G333" s="11" t="s">
        <v>1429</v>
      </c>
      <c r="H333" s="11" t="s">
        <v>36</v>
      </c>
      <c r="I333" s="11" t="s">
        <v>1430</v>
      </c>
      <c r="J333" s="11" t="s">
        <v>55</v>
      </c>
      <c r="K333" s="11">
        <v>1.19824062700104E14</v>
      </c>
      <c r="L333" s="14"/>
      <c r="M333" s="15"/>
      <c r="N333" s="24">
        <v>120000.0</v>
      </c>
      <c r="O333" s="16"/>
    </row>
    <row r="334" ht="22.5" customHeight="1">
      <c r="A334" s="10" t="str">
        <f t="shared" si="1"/>
        <v>1/2026</v>
      </c>
      <c r="B334" s="10">
        <v>46037.775640775464</v>
      </c>
      <c r="C334" s="11" t="s">
        <v>115</v>
      </c>
      <c r="D334" s="11" t="s">
        <v>1431</v>
      </c>
      <c r="E334" s="12" t="s">
        <v>1130</v>
      </c>
      <c r="F334" s="11" t="s">
        <v>118</v>
      </c>
      <c r="G334" s="11" t="s">
        <v>1425</v>
      </c>
      <c r="H334" s="11" t="s">
        <v>141</v>
      </c>
      <c r="I334" s="11" t="s">
        <v>1432</v>
      </c>
      <c r="J334" s="11" t="s">
        <v>1433</v>
      </c>
      <c r="K334" s="11" t="s">
        <v>122</v>
      </c>
      <c r="L334" s="14"/>
      <c r="M334" s="15"/>
      <c r="N334" s="24">
        <v>50000.0</v>
      </c>
      <c r="O334" s="16"/>
    </row>
    <row r="335" ht="22.5" customHeight="1">
      <c r="A335" s="10" t="str">
        <f t="shared" si="1"/>
        <v>1/2026</v>
      </c>
      <c r="B335" s="10">
        <v>46038.41594324074</v>
      </c>
      <c r="C335" s="11" t="s">
        <v>308</v>
      </c>
      <c r="D335" s="11" t="s">
        <v>1434</v>
      </c>
      <c r="E335" s="12" t="s">
        <v>1435</v>
      </c>
      <c r="F335" s="11" t="s">
        <v>106</v>
      </c>
      <c r="G335" s="11" t="s">
        <v>1436</v>
      </c>
      <c r="H335" s="11" t="s">
        <v>36</v>
      </c>
      <c r="I335" s="11" t="s">
        <v>1437</v>
      </c>
      <c r="J335" s="11" t="s">
        <v>1438</v>
      </c>
      <c r="K335" s="11">
        <v>8.9282101230022E14</v>
      </c>
      <c r="L335" s="14"/>
      <c r="M335" s="15"/>
      <c r="N335" s="24">
        <v>0.0</v>
      </c>
      <c r="O335" s="16"/>
    </row>
    <row r="336" ht="22.5" customHeight="1">
      <c r="A336" s="10" t="str">
        <f t="shared" si="1"/>
        <v>1/2026</v>
      </c>
      <c r="B336" s="10">
        <v>46038.41754966435</v>
      </c>
      <c r="C336" s="11" t="s">
        <v>308</v>
      </c>
      <c r="D336" s="11" t="s">
        <v>1439</v>
      </c>
      <c r="E336" s="12" t="s">
        <v>1440</v>
      </c>
      <c r="F336" s="11" t="s">
        <v>106</v>
      </c>
      <c r="G336" s="11" t="s">
        <v>1415</v>
      </c>
      <c r="H336" s="11" t="s">
        <v>36</v>
      </c>
      <c r="I336" s="11" t="s">
        <v>1441</v>
      </c>
      <c r="J336" s="11" t="s">
        <v>1210</v>
      </c>
      <c r="K336" s="11">
        <v>1.39824092700435E14</v>
      </c>
      <c r="L336" s="14"/>
      <c r="M336" s="15"/>
      <c r="N336" s="24">
        <v>190000.0</v>
      </c>
      <c r="O336" s="16"/>
    </row>
    <row r="337" ht="22.5" customHeight="1">
      <c r="A337" s="10" t="str">
        <f t="shared" si="1"/>
        <v>1/2026</v>
      </c>
      <c r="B337" s="10">
        <v>46038.46216247685</v>
      </c>
      <c r="C337" s="11" t="s">
        <v>169</v>
      </c>
      <c r="D337" s="11" t="s">
        <v>1442</v>
      </c>
      <c r="E337" s="12" t="s">
        <v>1443</v>
      </c>
      <c r="F337" s="11" t="s">
        <v>404</v>
      </c>
      <c r="G337" s="11" t="s">
        <v>1312</v>
      </c>
      <c r="H337" s="11" t="s">
        <v>36</v>
      </c>
      <c r="I337" s="11" t="s">
        <v>1444</v>
      </c>
      <c r="J337" s="11" t="s">
        <v>1445</v>
      </c>
      <c r="K337" s="11">
        <v>1.3982205270001E14</v>
      </c>
      <c r="L337" s="14"/>
      <c r="M337" s="15"/>
      <c r="N337" s="24">
        <v>220000.0</v>
      </c>
      <c r="O337" s="16">
        <f>(37-20)*3000</f>
        <v>51000</v>
      </c>
    </row>
    <row r="338" ht="22.5" customHeight="1">
      <c r="A338" s="25" t="str">
        <f t="shared" si="1"/>
        <v>1/2026</v>
      </c>
      <c r="B338" s="25">
        <v>46038.642138483796</v>
      </c>
      <c r="C338" s="21" t="s">
        <v>22</v>
      </c>
      <c r="D338" s="21" t="s">
        <v>1446</v>
      </c>
      <c r="E338" s="26" t="s">
        <v>1447</v>
      </c>
      <c r="F338" s="21" t="s">
        <v>18</v>
      </c>
      <c r="G338" s="21" t="s">
        <v>1062</v>
      </c>
      <c r="H338" s="21" t="s">
        <v>44</v>
      </c>
      <c r="I338" s="21" t="s">
        <v>1448</v>
      </c>
      <c r="J338" s="21" t="s">
        <v>1449</v>
      </c>
      <c r="K338" s="21">
        <v>1.85825082200026E14</v>
      </c>
      <c r="L338" s="27"/>
      <c r="M338" s="15"/>
      <c r="N338" s="24">
        <v>200000.0</v>
      </c>
      <c r="O338" s="16"/>
    </row>
    <row r="339" ht="22.5" customHeight="1">
      <c r="A339" s="25" t="str">
        <f t="shared" si="1"/>
        <v>1/2026</v>
      </c>
      <c r="B339" s="25">
        <v>46038.74218053241</v>
      </c>
      <c r="C339" s="21" t="s">
        <v>386</v>
      </c>
      <c r="D339" s="21" t="s">
        <v>1450</v>
      </c>
      <c r="E339" s="26" t="s">
        <v>1451</v>
      </c>
      <c r="F339" s="21" t="s">
        <v>18</v>
      </c>
      <c r="G339" s="21" t="s">
        <v>589</v>
      </c>
      <c r="H339" s="21" t="s">
        <v>44</v>
      </c>
      <c r="I339" s="21" t="s">
        <v>1452</v>
      </c>
      <c r="J339" s="21" t="s">
        <v>1453</v>
      </c>
      <c r="K339" s="21">
        <v>1.85825082200046E14</v>
      </c>
      <c r="L339" s="27"/>
      <c r="M339" s="15"/>
      <c r="N339" s="24">
        <v>200000.0</v>
      </c>
      <c r="O339" s="16"/>
    </row>
    <row r="340" ht="22.5" customHeight="1">
      <c r="A340" s="25" t="str">
        <f t="shared" si="1"/>
        <v>1/2026</v>
      </c>
      <c r="B340" s="25">
        <v>46039.681984490744</v>
      </c>
      <c r="C340" s="21" t="s">
        <v>1454</v>
      </c>
      <c r="D340" s="21" t="s">
        <v>1455</v>
      </c>
      <c r="E340" s="21" t="s">
        <v>1456</v>
      </c>
      <c r="F340" s="21" t="s">
        <v>1457</v>
      </c>
      <c r="G340" s="21" t="s">
        <v>1458</v>
      </c>
      <c r="H340" s="21" t="s">
        <v>20</v>
      </c>
      <c r="I340" s="21" t="s">
        <v>1459</v>
      </c>
      <c r="J340" s="21" t="s">
        <v>1460</v>
      </c>
      <c r="K340" s="21">
        <v>1.84825082100253E14</v>
      </c>
      <c r="L340" s="27"/>
      <c r="M340" s="15"/>
      <c r="N340" s="24">
        <v>230000.0</v>
      </c>
      <c r="O340" s="16"/>
    </row>
    <row r="341" ht="22.5" customHeight="1">
      <c r="A341" s="25" t="str">
        <f t="shared" si="1"/>
        <v>1/2026</v>
      </c>
      <c r="B341" s="25">
        <v>46039.76960135417</v>
      </c>
      <c r="C341" s="21" t="s">
        <v>115</v>
      </c>
      <c r="D341" s="21" t="s">
        <v>1461</v>
      </c>
      <c r="E341" s="26" t="s">
        <v>1462</v>
      </c>
      <c r="F341" s="21" t="s">
        <v>118</v>
      </c>
      <c r="G341" s="21" t="s">
        <v>1295</v>
      </c>
      <c r="H341" s="21" t="s">
        <v>36</v>
      </c>
      <c r="I341" s="21" t="s">
        <v>1463</v>
      </c>
      <c r="J341" s="21" t="s">
        <v>965</v>
      </c>
      <c r="K341" s="21" t="s">
        <v>122</v>
      </c>
      <c r="L341" s="27"/>
      <c r="M341" s="15"/>
      <c r="N341" s="24">
        <v>150000.0</v>
      </c>
      <c r="O341" s="16"/>
    </row>
    <row r="342" ht="22.5" customHeight="1">
      <c r="A342" s="25" t="str">
        <f t="shared" si="1"/>
        <v>1/2026</v>
      </c>
      <c r="B342" s="25">
        <v>46039.77242680556</v>
      </c>
      <c r="C342" s="21" t="s">
        <v>115</v>
      </c>
      <c r="D342" s="21" t="s">
        <v>1464</v>
      </c>
      <c r="E342" s="26" t="s">
        <v>1465</v>
      </c>
      <c r="F342" s="21" t="s">
        <v>118</v>
      </c>
      <c r="G342" s="21" t="s">
        <v>1363</v>
      </c>
      <c r="H342" s="21" t="s">
        <v>36</v>
      </c>
      <c r="I342" s="21" t="s">
        <v>1466</v>
      </c>
      <c r="J342" s="21" t="s">
        <v>965</v>
      </c>
      <c r="K342" s="21" t="s">
        <v>122</v>
      </c>
      <c r="L342" s="27"/>
      <c r="M342" s="15"/>
      <c r="N342" s="24">
        <v>0.0</v>
      </c>
      <c r="O342" s="16"/>
    </row>
    <row r="343" ht="22.5" customHeight="1">
      <c r="A343" s="25" t="str">
        <f t="shared" si="1"/>
        <v>1/2026</v>
      </c>
      <c r="B343" s="25">
        <v>46039.77345140046</v>
      </c>
      <c r="C343" s="21" t="s">
        <v>115</v>
      </c>
      <c r="D343" s="21" t="s">
        <v>1467</v>
      </c>
      <c r="E343" s="26" t="s">
        <v>1468</v>
      </c>
      <c r="F343" s="21" t="s">
        <v>118</v>
      </c>
      <c r="G343" s="21" t="s">
        <v>1124</v>
      </c>
      <c r="H343" s="21" t="s">
        <v>36</v>
      </c>
      <c r="I343" s="21" t="s">
        <v>1469</v>
      </c>
      <c r="J343" s="21" t="s">
        <v>965</v>
      </c>
      <c r="K343" s="21" t="s">
        <v>122</v>
      </c>
      <c r="L343" s="27"/>
      <c r="M343" s="15"/>
      <c r="N343" s="24">
        <v>0.0</v>
      </c>
      <c r="O343" s="16"/>
    </row>
    <row r="344" ht="22.5" customHeight="1">
      <c r="A344" s="25" t="str">
        <f t="shared" si="1"/>
        <v>1/2026</v>
      </c>
      <c r="B344" s="25">
        <v>46040.43332667824</v>
      </c>
      <c r="C344" s="21" t="s">
        <v>386</v>
      </c>
      <c r="D344" s="21" t="s">
        <v>1470</v>
      </c>
      <c r="E344" s="26" t="s">
        <v>1212</v>
      </c>
      <c r="F344" s="21" t="s">
        <v>18</v>
      </c>
      <c r="G344" s="21" t="s">
        <v>589</v>
      </c>
      <c r="H344" s="21" t="s">
        <v>20</v>
      </c>
      <c r="I344" s="21" t="s">
        <v>1471</v>
      </c>
      <c r="J344" s="21" t="s">
        <v>1472</v>
      </c>
      <c r="K344" s="21">
        <v>1.85825082200084E14</v>
      </c>
      <c r="L344" s="27"/>
      <c r="M344" s="15"/>
      <c r="N344" s="9">
        <v>250000.0</v>
      </c>
      <c r="O344" s="16"/>
    </row>
    <row r="345" ht="22.5" customHeight="1">
      <c r="A345" s="25" t="str">
        <f t="shared" si="1"/>
        <v>1/2026</v>
      </c>
      <c r="B345" s="25">
        <v>46040.43544436342</v>
      </c>
      <c r="C345" s="21" t="s">
        <v>386</v>
      </c>
      <c r="D345" s="21" t="s">
        <v>1473</v>
      </c>
      <c r="E345" s="26" t="s">
        <v>1474</v>
      </c>
      <c r="F345" s="21" t="s">
        <v>18</v>
      </c>
      <c r="G345" s="21" t="s">
        <v>1228</v>
      </c>
      <c r="H345" s="21" t="s">
        <v>36</v>
      </c>
      <c r="I345" s="21" t="s">
        <v>1475</v>
      </c>
      <c r="J345" s="21" t="s">
        <v>1476</v>
      </c>
      <c r="K345" s="21">
        <v>1.39822120800352E14</v>
      </c>
      <c r="L345" s="27"/>
      <c r="M345" s="15"/>
      <c r="N345" s="24">
        <v>120000.0</v>
      </c>
      <c r="O345" s="16"/>
    </row>
    <row r="346" ht="22.5" customHeight="1">
      <c r="A346" s="25" t="str">
        <f t="shared" si="1"/>
        <v>1/2026</v>
      </c>
      <c r="B346" s="25">
        <v>46040.7209841088</v>
      </c>
      <c r="C346" s="21" t="s">
        <v>115</v>
      </c>
      <c r="D346" s="21" t="s">
        <v>1477</v>
      </c>
      <c r="E346" s="26" t="s">
        <v>1478</v>
      </c>
      <c r="F346" s="21" t="s">
        <v>118</v>
      </c>
      <c r="G346" s="21" t="s">
        <v>178</v>
      </c>
      <c r="H346" s="21" t="s">
        <v>36</v>
      </c>
      <c r="I346" s="21" t="s">
        <v>1479</v>
      </c>
      <c r="J346" s="21" t="s">
        <v>965</v>
      </c>
      <c r="K346" s="21" t="s">
        <v>122</v>
      </c>
      <c r="L346" s="27"/>
      <c r="M346" s="15"/>
      <c r="N346" s="24">
        <v>150000.0</v>
      </c>
      <c r="O346" s="16"/>
    </row>
    <row r="347" ht="22.5" customHeight="1">
      <c r="A347" s="25" t="str">
        <f t="shared" si="1"/>
        <v>1/2026</v>
      </c>
      <c r="B347" s="25">
        <v>46040.72194458333</v>
      </c>
      <c r="C347" s="21" t="s">
        <v>115</v>
      </c>
      <c r="D347" s="21" t="s">
        <v>352</v>
      </c>
      <c r="E347" s="26" t="s">
        <v>1480</v>
      </c>
      <c r="F347" s="21" t="s">
        <v>118</v>
      </c>
      <c r="G347" s="21" t="s">
        <v>1363</v>
      </c>
      <c r="H347" s="21" t="s">
        <v>36</v>
      </c>
      <c r="I347" s="21" t="s">
        <v>1481</v>
      </c>
      <c r="J347" s="21" t="s">
        <v>965</v>
      </c>
      <c r="K347" s="21" t="s">
        <v>122</v>
      </c>
      <c r="L347" s="27"/>
      <c r="M347" s="15"/>
      <c r="N347" s="24">
        <v>0.0</v>
      </c>
      <c r="O347" s="16"/>
    </row>
    <row r="348" ht="22.5" customHeight="1">
      <c r="A348" s="25" t="str">
        <f t="shared" si="1"/>
        <v>1/2026</v>
      </c>
      <c r="B348" s="25">
        <v>46040.72305357639</v>
      </c>
      <c r="C348" s="21" t="s">
        <v>115</v>
      </c>
      <c r="D348" s="21" t="s">
        <v>1482</v>
      </c>
      <c r="E348" s="26" t="s">
        <v>1483</v>
      </c>
      <c r="F348" s="21" t="s">
        <v>118</v>
      </c>
      <c r="G348" s="21" t="s">
        <v>178</v>
      </c>
      <c r="H348" s="21" t="s">
        <v>36</v>
      </c>
      <c r="I348" s="21" t="s">
        <v>1484</v>
      </c>
      <c r="J348" s="21" t="s">
        <v>965</v>
      </c>
      <c r="K348" s="21" t="s">
        <v>122</v>
      </c>
      <c r="L348" s="27"/>
      <c r="M348" s="15"/>
      <c r="N348" s="24">
        <v>150000.0</v>
      </c>
      <c r="O348" s="16"/>
    </row>
    <row r="349" ht="22.5" customHeight="1">
      <c r="A349" s="25" t="str">
        <f t="shared" si="1"/>
        <v>1/2026</v>
      </c>
      <c r="B349" s="25">
        <v>46040.72606688658</v>
      </c>
      <c r="C349" s="21" t="s">
        <v>115</v>
      </c>
      <c r="D349" s="21" t="s">
        <v>1368</v>
      </c>
      <c r="E349" s="26" t="s">
        <v>1369</v>
      </c>
      <c r="F349" s="21" t="s">
        <v>1370</v>
      </c>
      <c r="G349" s="21" t="s">
        <v>1425</v>
      </c>
      <c r="H349" s="21" t="s">
        <v>141</v>
      </c>
      <c r="I349" s="21" t="s">
        <v>1485</v>
      </c>
      <c r="J349" s="21" t="s">
        <v>1486</v>
      </c>
      <c r="K349" s="21" t="s">
        <v>122</v>
      </c>
      <c r="L349" s="27"/>
      <c r="M349" s="15"/>
      <c r="N349" s="24">
        <v>60000.0</v>
      </c>
      <c r="O349" s="16"/>
    </row>
    <row r="350" ht="22.5" customHeight="1">
      <c r="A350" s="25" t="str">
        <f t="shared" si="1"/>
        <v>1/2026</v>
      </c>
      <c r="B350" s="25">
        <v>46041.474430601855</v>
      </c>
      <c r="C350" s="21" t="s">
        <v>169</v>
      </c>
      <c r="D350" s="21" t="s">
        <v>1487</v>
      </c>
      <c r="E350" s="26" t="s">
        <v>1488</v>
      </c>
      <c r="F350" s="21" t="s">
        <v>404</v>
      </c>
      <c r="G350" s="21" t="s">
        <v>807</v>
      </c>
      <c r="H350" s="21" t="s">
        <v>44</v>
      </c>
      <c r="I350" s="28" t="s">
        <v>1489</v>
      </c>
      <c r="J350" s="21" t="s">
        <v>1490</v>
      </c>
      <c r="K350" s="21">
        <v>1.85825082200063E14</v>
      </c>
      <c r="L350" s="27"/>
      <c r="M350" s="15"/>
      <c r="N350" s="24">
        <v>300000.0</v>
      </c>
      <c r="O350" s="16">
        <f>(81-20)*3000</f>
        <v>183000</v>
      </c>
    </row>
    <row r="351" ht="22.5" customHeight="1">
      <c r="A351" s="25" t="str">
        <f t="shared" si="1"/>
        <v>1/2026</v>
      </c>
      <c r="B351" s="25">
        <v>46041.80226548611</v>
      </c>
      <c r="C351" s="21" t="s">
        <v>386</v>
      </c>
      <c r="D351" s="21" t="s">
        <v>1491</v>
      </c>
      <c r="E351" s="26" t="s">
        <v>1492</v>
      </c>
      <c r="F351" s="21" t="s">
        <v>18</v>
      </c>
      <c r="G351" s="21" t="s">
        <v>1493</v>
      </c>
      <c r="H351" s="21" t="s">
        <v>36</v>
      </c>
      <c r="I351" s="21" t="s">
        <v>1494</v>
      </c>
      <c r="J351" s="21" t="s">
        <v>1495</v>
      </c>
      <c r="K351" s="21">
        <v>1.39822120800188E14</v>
      </c>
      <c r="L351" s="27"/>
      <c r="M351" s="15"/>
      <c r="N351" s="24">
        <v>120000.0</v>
      </c>
      <c r="O351" s="16"/>
    </row>
    <row r="352" ht="22.5" customHeight="1">
      <c r="A352" s="25" t="str">
        <f t="shared" si="1"/>
        <v>1/2026</v>
      </c>
      <c r="B352" s="25">
        <v>46041.80388802083</v>
      </c>
      <c r="C352" s="21" t="s">
        <v>386</v>
      </c>
      <c r="D352" s="21" t="s">
        <v>924</v>
      </c>
      <c r="E352" s="26" t="s">
        <v>1496</v>
      </c>
      <c r="F352" s="21" t="s">
        <v>18</v>
      </c>
      <c r="G352" s="21" t="s">
        <v>250</v>
      </c>
      <c r="H352" s="21" t="s">
        <v>20</v>
      </c>
      <c r="I352" s="21" t="s">
        <v>1497</v>
      </c>
      <c r="J352" s="21" t="s">
        <v>1498</v>
      </c>
      <c r="K352" s="21">
        <v>1.83825082100032E14</v>
      </c>
      <c r="L352" s="27"/>
      <c r="M352" s="15"/>
      <c r="N352" s="9">
        <v>250000.0</v>
      </c>
      <c r="O352" s="16"/>
    </row>
    <row r="353" ht="22.5" customHeight="1">
      <c r="A353" s="25" t="str">
        <f t="shared" si="1"/>
        <v>1/2026</v>
      </c>
      <c r="B353" s="25">
        <v>46041.80578925926</v>
      </c>
      <c r="C353" s="21" t="s">
        <v>386</v>
      </c>
      <c r="D353" s="21" t="s">
        <v>1499</v>
      </c>
      <c r="E353" s="26" t="s">
        <v>1500</v>
      </c>
      <c r="F353" s="21" t="s">
        <v>18</v>
      </c>
      <c r="G353" s="21" t="s">
        <v>1501</v>
      </c>
      <c r="H353" s="21" t="s">
        <v>36</v>
      </c>
      <c r="I353" s="21" t="s">
        <v>1502</v>
      </c>
      <c r="J353" s="21" t="s">
        <v>1503</v>
      </c>
      <c r="K353" s="21">
        <v>8.92821042900481E14</v>
      </c>
      <c r="L353" s="27"/>
      <c r="M353" s="15"/>
      <c r="N353" s="24">
        <v>120000.0</v>
      </c>
      <c r="O353" s="16"/>
    </row>
    <row r="354" ht="22.5" customHeight="1">
      <c r="A354" s="25" t="str">
        <f t="shared" si="1"/>
        <v>1/2026</v>
      </c>
      <c r="B354" s="25">
        <v>46041.83133194444</v>
      </c>
      <c r="C354" s="21" t="s">
        <v>1181</v>
      </c>
      <c r="D354" s="21" t="s">
        <v>1221</v>
      </c>
      <c r="E354" s="21" t="s">
        <v>1504</v>
      </c>
      <c r="F354" s="21" t="s">
        <v>18</v>
      </c>
      <c r="G354" s="21" t="s">
        <v>1505</v>
      </c>
      <c r="H354" s="21" t="s">
        <v>141</v>
      </c>
      <c r="I354" s="21" t="s">
        <v>1506</v>
      </c>
      <c r="J354" s="21" t="s">
        <v>1507</v>
      </c>
      <c r="K354" s="21" t="s">
        <v>1221</v>
      </c>
      <c r="L354" s="27"/>
      <c r="M354" s="15"/>
      <c r="N354" s="24">
        <v>50000.0</v>
      </c>
      <c r="O354" s="9"/>
    </row>
    <row r="355" ht="22.5" customHeight="1">
      <c r="A355" s="25" t="str">
        <f t="shared" si="1"/>
        <v>1/2026</v>
      </c>
      <c r="B355" s="25">
        <v>46041.8324459838</v>
      </c>
      <c r="C355" s="21" t="s">
        <v>1181</v>
      </c>
      <c r="D355" s="21" t="s">
        <v>1221</v>
      </c>
      <c r="E355" s="21" t="s">
        <v>1221</v>
      </c>
      <c r="F355" s="21" t="s">
        <v>18</v>
      </c>
      <c r="G355" s="21" t="s">
        <v>1505</v>
      </c>
      <c r="H355" s="21" t="s">
        <v>141</v>
      </c>
      <c r="I355" s="29" t="s">
        <v>1508</v>
      </c>
      <c r="J355" s="21" t="s">
        <v>1509</v>
      </c>
      <c r="K355" s="21" t="s">
        <v>1221</v>
      </c>
      <c r="L355" s="27"/>
      <c r="M355" s="15"/>
      <c r="N355" s="24">
        <v>50000.0</v>
      </c>
      <c r="O355" s="9"/>
    </row>
    <row r="356" ht="22.5" customHeight="1">
      <c r="A356" s="25" t="str">
        <f t="shared" si="1"/>
        <v>1/2026</v>
      </c>
      <c r="B356" s="25">
        <v>46041.8333284838</v>
      </c>
      <c r="C356" s="21" t="s">
        <v>1181</v>
      </c>
      <c r="D356" s="21" t="s">
        <v>1221</v>
      </c>
      <c r="E356" s="21" t="s">
        <v>1221</v>
      </c>
      <c r="F356" s="21" t="s">
        <v>18</v>
      </c>
      <c r="G356" s="21" t="s">
        <v>1510</v>
      </c>
      <c r="H356" s="21" t="s">
        <v>141</v>
      </c>
      <c r="I356" s="29" t="s">
        <v>1511</v>
      </c>
      <c r="J356" s="21" t="s">
        <v>1512</v>
      </c>
      <c r="K356" s="21" t="s">
        <v>1221</v>
      </c>
      <c r="L356" s="27"/>
      <c r="M356" s="15"/>
      <c r="N356" s="24">
        <v>50000.0</v>
      </c>
      <c r="O356" s="9"/>
    </row>
    <row r="357" ht="22.5" customHeight="1">
      <c r="A357" s="25" t="str">
        <f t="shared" si="1"/>
        <v>1/2026</v>
      </c>
      <c r="B357" s="25">
        <v>46041.83533465277</v>
      </c>
      <c r="C357" s="21" t="s">
        <v>1181</v>
      </c>
      <c r="D357" s="21" t="s">
        <v>1221</v>
      </c>
      <c r="E357" s="21" t="s">
        <v>1221</v>
      </c>
      <c r="F357" s="21" t="s">
        <v>18</v>
      </c>
      <c r="G357" s="21" t="s">
        <v>1513</v>
      </c>
      <c r="H357" s="21" t="s">
        <v>141</v>
      </c>
      <c r="I357" s="29" t="s">
        <v>1514</v>
      </c>
      <c r="J357" s="21" t="s">
        <v>1515</v>
      </c>
      <c r="K357" s="21" t="s">
        <v>1221</v>
      </c>
      <c r="L357" s="27"/>
      <c r="M357" s="15"/>
      <c r="N357" s="24">
        <v>50000.0</v>
      </c>
      <c r="O357" s="9"/>
    </row>
    <row r="358" ht="22.5" customHeight="1">
      <c r="A358" s="25" t="str">
        <f t="shared" si="1"/>
        <v>1/2026</v>
      </c>
      <c r="B358" s="25">
        <v>46041.83608896991</v>
      </c>
      <c r="C358" s="21" t="s">
        <v>1181</v>
      </c>
      <c r="D358" s="21" t="s">
        <v>1221</v>
      </c>
      <c r="E358" s="21" t="s">
        <v>1221</v>
      </c>
      <c r="F358" s="21" t="s">
        <v>18</v>
      </c>
      <c r="G358" s="21" t="s">
        <v>1516</v>
      </c>
      <c r="H358" s="21" t="s">
        <v>141</v>
      </c>
      <c r="I358" s="21" t="s">
        <v>1517</v>
      </c>
      <c r="J358" s="21" t="s">
        <v>1518</v>
      </c>
      <c r="K358" s="21" t="s">
        <v>1221</v>
      </c>
      <c r="L358" s="27"/>
      <c r="M358" s="15"/>
      <c r="N358" s="24">
        <v>50000.0</v>
      </c>
      <c r="O358" s="9"/>
    </row>
    <row r="359" ht="22.5" customHeight="1">
      <c r="A359" s="25" t="str">
        <f t="shared" si="1"/>
        <v>1/2026</v>
      </c>
      <c r="B359" s="25">
        <v>46042.5023390625</v>
      </c>
      <c r="C359" s="21" t="s">
        <v>115</v>
      </c>
      <c r="D359" s="21" t="s">
        <v>1519</v>
      </c>
      <c r="E359" s="26" t="s">
        <v>1520</v>
      </c>
      <c r="F359" s="21" t="s">
        <v>118</v>
      </c>
      <c r="G359" s="21" t="s">
        <v>178</v>
      </c>
      <c r="H359" s="21" t="s">
        <v>141</v>
      </c>
      <c r="I359" s="21" t="s">
        <v>1521</v>
      </c>
      <c r="J359" s="21" t="s">
        <v>965</v>
      </c>
      <c r="K359" s="21" t="s">
        <v>122</v>
      </c>
      <c r="L359" s="27"/>
      <c r="M359" s="15"/>
      <c r="N359" s="24">
        <v>0.0</v>
      </c>
      <c r="O359" s="16"/>
    </row>
    <row r="360" ht="22.5" customHeight="1">
      <c r="A360" s="25" t="str">
        <f t="shared" si="1"/>
        <v>1/2026</v>
      </c>
      <c r="B360" s="25">
        <v>46042.50331885417</v>
      </c>
      <c r="C360" s="21" t="s">
        <v>115</v>
      </c>
      <c r="D360" s="21" t="s">
        <v>1522</v>
      </c>
      <c r="E360" s="26" t="s">
        <v>1523</v>
      </c>
      <c r="F360" s="21" t="s">
        <v>118</v>
      </c>
      <c r="G360" s="21" t="s">
        <v>1124</v>
      </c>
      <c r="H360" s="21" t="s">
        <v>36</v>
      </c>
      <c r="I360" s="21" t="s">
        <v>1524</v>
      </c>
      <c r="J360" s="21" t="s">
        <v>965</v>
      </c>
      <c r="K360" s="21" t="s">
        <v>122</v>
      </c>
      <c r="L360" s="27"/>
      <c r="M360" s="15"/>
      <c r="N360" s="24">
        <v>0.0</v>
      </c>
      <c r="O360" s="16"/>
    </row>
    <row r="361" ht="22.5" customHeight="1">
      <c r="A361" s="25" t="str">
        <f t="shared" si="1"/>
        <v>1/2026</v>
      </c>
      <c r="B361" s="25">
        <v>46042.76056998843</v>
      </c>
      <c r="C361" s="21" t="s">
        <v>300</v>
      </c>
      <c r="D361" s="21" t="s">
        <v>1525</v>
      </c>
      <c r="E361" s="26" t="s">
        <v>1526</v>
      </c>
      <c r="F361" s="21" t="s">
        <v>303</v>
      </c>
      <c r="G361" s="21" t="s">
        <v>217</v>
      </c>
      <c r="H361" s="21" t="s">
        <v>20</v>
      </c>
      <c r="I361" s="30" t="s">
        <v>1527</v>
      </c>
      <c r="J361" s="21" t="s">
        <v>1528</v>
      </c>
      <c r="K361" s="21">
        <v>1.85825082200025E14</v>
      </c>
      <c r="L361" s="27"/>
      <c r="M361" s="15"/>
      <c r="N361" s="24">
        <v>230000.0</v>
      </c>
      <c r="O361" s="16"/>
    </row>
    <row r="362" ht="22.5" customHeight="1">
      <c r="A362" s="25" t="str">
        <f t="shared" si="1"/>
        <v>1/2026</v>
      </c>
      <c r="B362" s="25">
        <v>46042.7909106713</v>
      </c>
      <c r="C362" s="21" t="s">
        <v>386</v>
      </c>
      <c r="D362" s="21" t="s">
        <v>387</v>
      </c>
      <c r="E362" s="26" t="s">
        <v>1529</v>
      </c>
      <c r="F362" s="21" t="s">
        <v>18</v>
      </c>
      <c r="G362" s="21" t="s">
        <v>1287</v>
      </c>
      <c r="H362" s="21" t="s">
        <v>36</v>
      </c>
      <c r="I362" s="21" t="s">
        <v>1530</v>
      </c>
      <c r="J362" s="21" t="s">
        <v>1531</v>
      </c>
      <c r="K362" s="21">
        <v>8.92821042900416E14</v>
      </c>
      <c r="L362" s="27"/>
      <c r="M362" s="15"/>
      <c r="N362" s="24">
        <v>120000.0</v>
      </c>
      <c r="O362" s="16"/>
    </row>
    <row r="363" ht="22.5" customHeight="1">
      <c r="A363" s="25" t="str">
        <f t="shared" si="1"/>
        <v>1/2026</v>
      </c>
      <c r="B363" s="25">
        <v>46042.79359189815</v>
      </c>
      <c r="C363" s="21" t="s">
        <v>386</v>
      </c>
      <c r="D363" s="21" t="s">
        <v>984</v>
      </c>
      <c r="E363" s="26" t="s">
        <v>1532</v>
      </c>
      <c r="F363" s="21" t="s">
        <v>18</v>
      </c>
      <c r="G363" s="21" t="s">
        <v>1262</v>
      </c>
      <c r="H363" s="21" t="s">
        <v>36</v>
      </c>
      <c r="I363" s="21" t="s">
        <v>1533</v>
      </c>
      <c r="J363" s="21" t="s">
        <v>900</v>
      </c>
      <c r="K363" s="21">
        <v>1.39823091200082E14</v>
      </c>
      <c r="L363" s="27"/>
      <c r="M363" s="15"/>
      <c r="N363" s="24">
        <v>120000.0</v>
      </c>
      <c r="O363" s="16"/>
    </row>
    <row r="364" ht="22.5" customHeight="1">
      <c r="A364" s="25" t="str">
        <f t="shared" si="1"/>
        <v>1/2026</v>
      </c>
      <c r="B364" s="25">
        <v>46042.795568113426</v>
      </c>
      <c r="C364" s="21" t="s">
        <v>386</v>
      </c>
      <c r="D364" s="21" t="s">
        <v>655</v>
      </c>
      <c r="E364" s="26" t="s">
        <v>1534</v>
      </c>
      <c r="F364" s="21" t="s">
        <v>18</v>
      </c>
      <c r="G364" s="21" t="s">
        <v>1124</v>
      </c>
      <c r="H364" s="21" t="s">
        <v>36</v>
      </c>
      <c r="I364" s="21" t="s">
        <v>1535</v>
      </c>
      <c r="J364" s="21" t="s">
        <v>1536</v>
      </c>
      <c r="K364" s="21">
        <v>1.39823072500292E14</v>
      </c>
      <c r="L364" s="27"/>
      <c r="M364" s="15"/>
      <c r="N364" s="24">
        <v>120000.0</v>
      </c>
      <c r="O364" s="16"/>
    </row>
    <row r="365" ht="22.5" customHeight="1">
      <c r="A365" s="25" t="str">
        <f t="shared" si="1"/>
        <v>1/2026</v>
      </c>
      <c r="B365" s="25">
        <v>46043.470239699076</v>
      </c>
      <c r="C365" s="21" t="s">
        <v>1537</v>
      </c>
      <c r="D365" s="21" t="s">
        <v>1538</v>
      </c>
      <c r="E365" s="26" t="s">
        <v>1539</v>
      </c>
      <c r="F365" s="21" t="s">
        <v>1540</v>
      </c>
      <c r="G365" s="21" t="s">
        <v>1541</v>
      </c>
      <c r="H365" s="21" t="s">
        <v>20</v>
      </c>
      <c r="I365" s="21" t="s">
        <v>1542</v>
      </c>
      <c r="J365" s="21" t="s">
        <v>1543</v>
      </c>
      <c r="K365" s="21">
        <v>1.85825082200057E14</v>
      </c>
      <c r="L365" s="27"/>
      <c r="M365" s="15"/>
      <c r="N365" s="24">
        <v>230000.0</v>
      </c>
      <c r="O365" s="16"/>
    </row>
    <row r="366" ht="22.5" customHeight="1">
      <c r="A366" s="25" t="str">
        <f t="shared" si="1"/>
        <v>1/2026</v>
      </c>
      <c r="B366" s="25">
        <v>46043.739444085644</v>
      </c>
      <c r="C366" s="21" t="s">
        <v>169</v>
      </c>
      <c r="D366" s="21" t="s">
        <v>1544</v>
      </c>
      <c r="E366" s="26" t="s">
        <v>1545</v>
      </c>
      <c r="F366" s="21" t="s">
        <v>118</v>
      </c>
      <c r="G366" s="21" t="s">
        <v>784</v>
      </c>
      <c r="H366" s="21" t="s">
        <v>36</v>
      </c>
      <c r="I366" s="21" t="s">
        <v>1546</v>
      </c>
      <c r="J366" s="21" t="s">
        <v>1445</v>
      </c>
      <c r="K366" s="21">
        <v>1.39823091200234E14</v>
      </c>
      <c r="L366" s="27"/>
      <c r="M366" s="15"/>
      <c r="N366" s="24">
        <v>220000.0</v>
      </c>
      <c r="O366" s="16"/>
    </row>
    <row r="367" ht="22.5" customHeight="1">
      <c r="A367" s="25" t="str">
        <f t="shared" si="1"/>
        <v>1/2026</v>
      </c>
      <c r="B367" s="25">
        <v>46043.82680292824</v>
      </c>
      <c r="C367" s="21" t="s">
        <v>386</v>
      </c>
      <c r="D367" s="21" t="s">
        <v>265</v>
      </c>
      <c r="E367" s="26" t="s">
        <v>1330</v>
      </c>
      <c r="F367" s="21" t="s">
        <v>18</v>
      </c>
      <c r="G367" s="21">
        <v>3626.0</v>
      </c>
      <c r="H367" s="21" t="s">
        <v>425</v>
      </c>
      <c r="I367" s="30" t="s">
        <v>1547</v>
      </c>
      <c r="J367" s="21" t="s">
        <v>1548</v>
      </c>
      <c r="K367" s="21">
        <v>1.86825082100179E14</v>
      </c>
      <c r="L367" s="27"/>
      <c r="M367" s="15"/>
      <c r="N367" s="24">
        <v>120000.0</v>
      </c>
      <c r="O367" s="16"/>
    </row>
    <row r="368" ht="22.5" customHeight="1">
      <c r="A368" s="25" t="str">
        <f t="shared" si="1"/>
        <v>1/2026</v>
      </c>
      <c r="B368" s="25">
        <v>46043.82845552084</v>
      </c>
      <c r="C368" s="21" t="s">
        <v>386</v>
      </c>
      <c r="D368" s="21" t="s">
        <v>1549</v>
      </c>
      <c r="E368" s="26" t="s">
        <v>1550</v>
      </c>
      <c r="F368" s="21" t="s">
        <v>18</v>
      </c>
      <c r="G368" s="21" t="s">
        <v>589</v>
      </c>
      <c r="H368" s="21" t="s">
        <v>20</v>
      </c>
      <c r="I368" s="21" t="s">
        <v>1551</v>
      </c>
      <c r="J368" s="21" t="s">
        <v>1552</v>
      </c>
      <c r="K368" s="21">
        <v>1.85825082200062E14</v>
      </c>
      <c r="L368" s="27"/>
      <c r="M368" s="15"/>
      <c r="N368" s="9">
        <v>250000.0</v>
      </c>
      <c r="O368" s="16"/>
    </row>
    <row r="369" ht="22.5" customHeight="1">
      <c r="A369" s="25" t="str">
        <f t="shared" si="1"/>
        <v>1/2026</v>
      </c>
      <c r="B369" s="25">
        <v>46043.87912150463</v>
      </c>
      <c r="C369" s="21" t="s">
        <v>408</v>
      </c>
      <c r="D369" s="21" t="s">
        <v>1553</v>
      </c>
      <c r="E369" s="26" t="s">
        <v>1554</v>
      </c>
      <c r="F369" s="21" t="s">
        <v>118</v>
      </c>
      <c r="G369" s="21">
        <v>5640.0</v>
      </c>
      <c r="H369" s="21" t="s">
        <v>36</v>
      </c>
      <c r="I369" s="30" t="s">
        <v>1555</v>
      </c>
      <c r="J369" s="21" t="s">
        <v>1556</v>
      </c>
      <c r="K369" s="21">
        <v>8.92821080500147E14</v>
      </c>
      <c r="L369" s="27"/>
      <c r="M369" s="15"/>
      <c r="N369" s="24">
        <v>150000.0</v>
      </c>
      <c r="O369" s="16"/>
    </row>
    <row r="370" ht="22.5" customHeight="1">
      <c r="A370" s="25" t="str">
        <f t="shared" si="1"/>
        <v>1/2026</v>
      </c>
      <c r="B370" s="25">
        <v>46044.38033746528</v>
      </c>
      <c r="C370" s="21" t="s">
        <v>1181</v>
      </c>
      <c r="D370" s="21" t="s">
        <v>1557</v>
      </c>
      <c r="E370" s="21" t="s">
        <v>1221</v>
      </c>
      <c r="F370" s="21" t="s">
        <v>18</v>
      </c>
      <c r="G370" s="21" t="s">
        <v>1558</v>
      </c>
      <c r="H370" s="21" t="s">
        <v>141</v>
      </c>
      <c r="I370" s="29" t="s">
        <v>1559</v>
      </c>
      <c r="J370" s="21" t="s">
        <v>1560</v>
      </c>
      <c r="K370" s="21">
        <v>1.85825082200062E14</v>
      </c>
      <c r="L370" s="27"/>
      <c r="M370" s="15"/>
      <c r="N370" s="24">
        <v>50000.0</v>
      </c>
      <c r="O370" s="16"/>
    </row>
    <row r="371" ht="22.5" customHeight="1">
      <c r="A371" s="25" t="str">
        <f t="shared" si="1"/>
        <v>1/2026</v>
      </c>
      <c r="B371" s="25">
        <v>46044.70786744213</v>
      </c>
      <c r="C371" s="21" t="s">
        <v>1454</v>
      </c>
      <c r="D371" s="21" t="s">
        <v>1561</v>
      </c>
      <c r="E371" s="26" t="s">
        <v>1562</v>
      </c>
      <c r="F371" s="21" t="s">
        <v>1457</v>
      </c>
      <c r="G371" s="21" t="s">
        <v>1563</v>
      </c>
      <c r="H371" s="21" t="s">
        <v>20</v>
      </c>
      <c r="I371" s="21" t="s">
        <v>1564</v>
      </c>
      <c r="J371" s="21" t="s">
        <v>1460</v>
      </c>
      <c r="K371" s="21">
        <v>1.8582508220006E14</v>
      </c>
      <c r="L371" s="27"/>
      <c r="M371" s="15"/>
      <c r="N371" s="24">
        <v>230000.0</v>
      </c>
      <c r="O371" s="16"/>
    </row>
    <row r="372" ht="22.5" customHeight="1">
      <c r="A372" s="25" t="str">
        <f t="shared" si="1"/>
        <v>1/2026</v>
      </c>
      <c r="B372" s="25">
        <v>46044.75568732639</v>
      </c>
      <c r="C372" s="21" t="s">
        <v>320</v>
      </c>
      <c r="D372" s="21" t="s">
        <v>1565</v>
      </c>
      <c r="E372" s="26" t="s">
        <v>1566</v>
      </c>
      <c r="F372" s="21" t="s">
        <v>118</v>
      </c>
      <c r="G372" s="21" t="s">
        <v>49</v>
      </c>
      <c r="H372" s="21" t="s">
        <v>44</v>
      </c>
      <c r="I372" s="21" t="s">
        <v>1567</v>
      </c>
      <c r="J372" s="21" t="s">
        <v>826</v>
      </c>
      <c r="K372" s="21">
        <v>1.84825082100255E14</v>
      </c>
      <c r="L372" s="27"/>
      <c r="M372" s="15"/>
      <c r="N372" s="24">
        <v>210000.0</v>
      </c>
      <c r="O372" s="16"/>
    </row>
    <row r="373" ht="22.5" customHeight="1">
      <c r="A373" s="25" t="str">
        <f t="shared" si="1"/>
        <v>1/2026</v>
      </c>
      <c r="B373" s="25">
        <v>46044.763358310185</v>
      </c>
      <c r="C373" s="21" t="s">
        <v>386</v>
      </c>
      <c r="D373" s="21" t="s">
        <v>1568</v>
      </c>
      <c r="E373" s="26" t="s">
        <v>1569</v>
      </c>
      <c r="F373" s="21" t="s">
        <v>18</v>
      </c>
      <c r="G373" s="21" t="s">
        <v>1570</v>
      </c>
      <c r="H373" s="21" t="s">
        <v>36</v>
      </c>
      <c r="I373" s="21" t="s">
        <v>1571</v>
      </c>
      <c r="J373" s="21" t="s">
        <v>1389</v>
      </c>
      <c r="K373" s="21">
        <v>1.19824092800308E14</v>
      </c>
      <c r="L373" s="27"/>
      <c r="M373" s="15"/>
      <c r="N373" s="24">
        <v>120000.0</v>
      </c>
      <c r="O373" s="16"/>
    </row>
    <row r="374" ht="22.5" customHeight="1">
      <c r="A374" s="25" t="str">
        <f t="shared" si="1"/>
        <v>1/2026</v>
      </c>
      <c r="B374" s="25">
        <v>46044.76466020833</v>
      </c>
      <c r="C374" s="21" t="s">
        <v>386</v>
      </c>
      <c r="D374" s="21" t="s">
        <v>1572</v>
      </c>
      <c r="E374" s="26" t="s">
        <v>1573</v>
      </c>
      <c r="F374" s="21" t="s">
        <v>18</v>
      </c>
      <c r="G374" s="21" t="s">
        <v>1387</v>
      </c>
      <c r="H374" s="21" t="s">
        <v>36</v>
      </c>
      <c r="I374" s="21" t="s">
        <v>1574</v>
      </c>
      <c r="J374" s="21" t="s">
        <v>1575</v>
      </c>
      <c r="K374" s="21">
        <v>1.19824092800057E14</v>
      </c>
      <c r="L374" s="27"/>
      <c r="M374" s="15"/>
      <c r="N374" s="24">
        <v>120000.0</v>
      </c>
      <c r="O374" s="16"/>
    </row>
    <row r="375" ht="22.5" customHeight="1">
      <c r="A375" s="25" t="str">
        <f t="shared" si="1"/>
        <v>1/2026</v>
      </c>
      <c r="B375" s="25">
        <v>46044.80932803241</v>
      </c>
      <c r="C375" s="21" t="s">
        <v>408</v>
      </c>
      <c r="D375" s="21" t="s">
        <v>1576</v>
      </c>
      <c r="E375" s="26" t="s">
        <v>1577</v>
      </c>
      <c r="F375" s="21" t="s">
        <v>118</v>
      </c>
      <c r="G375" s="21" t="s">
        <v>1578</v>
      </c>
      <c r="H375" s="21" t="s">
        <v>36</v>
      </c>
      <c r="I375" s="21" t="s">
        <v>1579</v>
      </c>
      <c r="J375" s="21" t="s">
        <v>1556</v>
      </c>
      <c r="K375" s="21">
        <v>1.39824092700223E14</v>
      </c>
      <c r="L375" s="27"/>
      <c r="M375" s="15"/>
      <c r="N375" s="24">
        <v>150000.0</v>
      </c>
      <c r="O375" s="16"/>
    </row>
    <row r="376" ht="22.5" customHeight="1">
      <c r="A376" s="25" t="str">
        <f t="shared" si="1"/>
        <v>1/2026</v>
      </c>
      <c r="B376" s="25">
        <v>46045.387231898145</v>
      </c>
      <c r="C376" s="21" t="s">
        <v>1181</v>
      </c>
      <c r="D376" s="21" t="s">
        <v>1580</v>
      </c>
      <c r="E376" s="26" t="s">
        <v>1581</v>
      </c>
      <c r="F376" s="21" t="s">
        <v>18</v>
      </c>
      <c r="G376" s="21" t="s">
        <v>536</v>
      </c>
      <c r="H376" s="21" t="s">
        <v>141</v>
      </c>
      <c r="I376" s="29" t="s">
        <v>1582</v>
      </c>
      <c r="J376" s="21" t="s">
        <v>1583</v>
      </c>
      <c r="K376" s="21" t="s">
        <v>1221</v>
      </c>
      <c r="L376" s="27"/>
      <c r="M376" s="15"/>
      <c r="N376" s="24">
        <v>50000.0</v>
      </c>
      <c r="O376" s="16"/>
    </row>
    <row r="377" ht="22.5" customHeight="1">
      <c r="A377" s="25" t="str">
        <f t="shared" si="1"/>
        <v>1/2026</v>
      </c>
      <c r="B377" s="25">
        <v>46045.753389571764</v>
      </c>
      <c r="C377" s="21" t="s">
        <v>115</v>
      </c>
      <c r="D377" s="21" t="s">
        <v>342</v>
      </c>
      <c r="E377" s="26" t="s">
        <v>1584</v>
      </c>
      <c r="F377" s="21" t="s">
        <v>118</v>
      </c>
      <c r="G377" s="21" t="s">
        <v>1124</v>
      </c>
      <c r="H377" s="21" t="s">
        <v>36</v>
      </c>
      <c r="I377" s="21" t="s">
        <v>1585</v>
      </c>
      <c r="J377" s="21" t="s">
        <v>965</v>
      </c>
      <c r="K377" s="21" t="s">
        <v>122</v>
      </c>
      <c r="L377" s="27"/>
      <c r="M377" s="15"/>
      <c r="N377" s="24">
        <v>0.0</v>
      </c>
      <c r="O377" s="16"/>
    </row>
    <row r="378" ht="22.5" customHeight="1">
      <c r="A378" s="25" t="str">
        <f t="shared" si="1"/>
        <v>1/2026</v>
      </c>
      <c r="B378" s="25">
        <v>46045.75448834491</v>
      </c>
      <c r="C378" s="21" t="s">
        <v>115</v>
      </c>
      <c r="D378" s="21" t="s">
        <v>1586</v>
      </c>
      <c r="E378" s="26" t="s">
        <v>1587</v>
      </c>
      <c r="F378" s="21" t="s">
        <v>118</v>
      </c>
      <c r="G378" s="21" t="s">
        <v>1291</v>
      </c>
      <c r="H378" s="21" t="s">
        <v>36</v>
      </c>
      <c r="I378" s="21" t="s">
        <v>1588</v>
      </c>
      <c r="J378" s="21" t="s">
        <v>965</v>
      </c>
      <c r="K378" s="21" t="s">
        <v>122</v>
      </c>
      <c r="L378" s="27"/>
      <c r="M378" s="15"/>
      <c r="N378" s="24">
        <v>0.0</v>
      </c>
      <c r="O378" s="16"/>
    </row>
    <row r="379" ht="22.5" customHeight="1">
      <c r="A379" s="25" t="str">
        <f t="shared" si="1"/>
        <v>1/2026</v>
      </c>
      <c r="B379" s="25">
        <v>46045.75539478009</v>
      </c>
      <c r="C379" s="21" t="s">
        <v>115</v>
      </c>
      <c r="D379" s="21" t="s">
        <v>1589</v>
      </c>
      <c r="E379" s="26" t="s">
        <v>1590</v>
      </c>
      <c r="F379" s="21" t="s">
        <v>118</v>
      </c>
      <c r="G379" s="21" t="s">
        <v>178</v>
      </c>
      <c r="H379" s="21" t="s">
        <v>36</v>
      </c>
      <c r="I379" s="21" t="s">
        <v>1591</v>
      </c>
      <c r="J379" s="21" t="s">
        <v>965</v>
      </c>
      <c r="K379" s="21" t="s">
        <v>122</v>
      </c>
      <c r="L379" s="27"/>
      <c r="M379" s="15"/>
      <c r="N379" s="24">
        <v>150000.0</v>
      </c>
      <c r="O379" s="16"/>
    </row>
    <row r="380" ht="22.5" customHeight="1">
      <c r="A380" s="25" t="str">
        <f t="shared" si="1"/>
        <v>1/2026</v>
      </c>
      <c r="B380" s="25">
        <v>46045.756746238425</v>
      </c>
      <c r="C380" s="21" t="s">
        <v>115</v>
      </c>
      <c r="D380" s="21" t="s">
        <v>1592</v>
      </c>
      <c r="E380" s="26" t="s">
        <v>1593</v>
      </c>
      <c r="F380" s="21" t="s">
        <v>118</v>
      </c>
      <c r="G380" s="21" t="s">
        <v>178</v>
      </c>
      <c r="H380" s="21" t="s">
        <v>36</v>
      </c>
      <c r="I380" s="21" t="s">
        <v>1594</v>
      </c>
      <c r="J380" s="21" t="s">
        <v>965</v>
      </c>
      <c r="K380" s="21" t="s">
        <v>122</v>
      </c>
      <c r="L380" s="27"/>
      <c r="M380" s="15"/>
      <c r="N380" s="24">
        <v>0.0</v>
      </c>
      <c r="O380" s="16"/>
    </row>
    <row r="381" ht="22.5" customHeight="1">
      <c r="A381" s="25" t="str">
        <f t="shared" si="1"/>
        <v>1/2026</v>
      </c>
      <c r="B381" s="25">
        <v>46047.51536474537</v>
      </c>
      <c r="C381" s="21" t="s">
        <v>618</v>
      </c>
      <c r="D381" s="21" t="s">
        <v>1595</v>
      </c>
      <c r="E381" s="26" t="s">
        <v>1596</v>
      </c>
      <c r="F381" s="21" t="s">
        <v>118</v>
      </c>
      <c r="G381" s="21" t="s">
        <v>854</v>
      </c>
      <c r="H381" s="21" t="s">
        <v>20</v>
      </c>
      <c r="I381" s="21" t="s">
        <v>1597</v>
      </c>
      <c r="J381" s="21" t="s">
        <v>1598</v>
      </c>
      <c r="K381" s="21">
        <v>1.85825082200013E14</v>
      </c>
      <c r="L381" s="27"/>
      <c r="M381" s="15"/>
      <c r="N381" s="24">
        <v>200000.0</v>
      </c>
      <c r="O381" s="16">
        <f>8*3000</f>
        <v>24000</v>
      </c>
    </row>
    <row r="382" ht="22.5" customHeight="1">
      <c r="A382" s="25" t="str">
        <f t="shared" si="1"/>
        <v>1/2026</v>
      </c>
      <c r="B382" s="25">
        <v>46047.59153694444</v>
      </c>
      <c r="C382" s="21" t="s">
        <v>386</v>
      </c>
      <c r="D382" s="21" t="s">
        <v>894</v>
      </c>
      <c r="E382" s="26" t="s">
        <v>1599</v>
      </c>
      <c r="F382" s="21" t="s">
        <v>242</v>
      </c>
      <c r="G382" s="21" t="s">
        <v>589</v>
      </c>
      <c r="H382" s="21" t="s">
        <v>20</v>
      </c>
      <c r="I382" s="21" t="s">
        <v>1600</v>
      </c>
      <c r="J382" s="21" t="s">
        <v>1601</v>
      </c>
      <c r="K382" s="21">
        <v>1.8582508220001E14</v>
      </c>
      <c r="L382" s="27"/>
      <c r="M382" s="15"/>
      <c r="N382" s="9">
        <v>250000.0</v>
      </c>
      <c r="O382" s="16"/>
    </row>
    <row r="383" ht="22.5" customHeight="1">
      <c r="A383" s="25" t="str">
        <f t="shared" si="1"/>
        <v>1/2026</v>
      </c>
      <c r="B383" s="25">
        <v>46047.60155755787</v>
      </c>
      <c r="C383" s="21" t="s">
        <v>386</v>
      </c>
      <c r="D383" s="21" t="s">
        <v>1602</v>
      </c>
      <c r="E383" s="26" t="s">
        <v>1581</v>
      </c>
      <c r="F383" s="21" t="s">
        <v>18</v>
      </c>
      <c r="G383" s="21" t="s">
        <v>1603</v>
      </c>
      <c r="H383" s="21" t="s">
        <v>20</v>
      </c>
      <c r="I383" s="21" t="s">
        <v>1604</v>
      </c>
      <c r="J383" s="21" t="s">
        <v>1605</v>
      </c>
      <c r="K383" s="21">
        <v>1.85825082200019E14</v>
      </c>
      <c r="L383" s="27"/>
      <c r="M383" s="15"/>
      <c r="N383" s="9">
        <v>250000.0</v>
      </c>
      <c r="O383" s="16"/>
    </row>
    <row r="384" ht="22.5" customHeight="1">
      <c r="A384" s="25" t="str">
        <f t="shared" si="1"/>
        <v>1/2026</v>
      </c>
      <c r="B384" s="25">
        <v>46048.352154594904</v>
      </c>
      <c r="C384" s="21" t="s">
        <v>408</v>
      </c>
      <c r="D384" s="21" t="s">
        <v>1133</v>
      </c>
      <c r="E384" s="26" t="s">
        <v>1606</v>
      </c>
      <c r="F384" s="21" t="s">
        <v>118</v>
      </c>
      <c r="G384" s="21">
        <v>5840.0</v>
      </c>
      <c r="H384" s="21" t="s">
        <v>141</v>
      </c>
      <c r="I384" s="21" t="s">
        <v>1607</v>
      </c>
      <c r="J384" s="21" t="s">
        <v>1608</v>
      </c>
      <c r="K384" s="21" t="s">
        <v>1609</v>
      </c>
      <c r="L384" s="27"/>
      <c r="M384" s="15"/>
      <c r="N384" s="24">
        <v>30000.0</v>
      </c>
      <c r="O384" s="16"/>
    </row>
    <row r="385" ht="22.5" customHeight="1">
      <c r="A385" s="25" t="str">
        <f t="shared" si="1"/>
        <v>1/2026</v>
      </c>
      <c r="B385" s="25">
        <v>46048.411862430556</v>
      </c>
      <c r="C385" s="21" t="s">
        <v>239</v>
      </c>
      <c r="D385" s="21" t="s">
        <v>1610</v>
      </c>
      <c r="E385" s="26" t="s">
        <v>1611</v>
      </c>
      <c r="F385" s="21" t="s">
        <v>242</v>
      </c>
      <c r="G385" s="21">
        <v>5676.0</v>
      </c>
      <c r="H385" s="21" t="s">
        <v>44</v>
      </c>
      <c r="I385" s="21" t="s">
        <v>1612</v>
      </c>
      <c r="J385" s="21" t="s">
        <v>407</v>
      </c>
      <c r="K385" s="21">
        <v>1.84825082100199E14</v>
      </c>
      <c r="L385" s="27"/>
      <c r="M385" s="15"/>
      <c r="N385" s="24">
        <v>230000.0</v>
      </c>
      <c r="O385" s="16"/>
    </row>
    <row r="386" ht="22.5" customHeight="1">
      <c r="A386" s="25" t="str">
        <f t="shared" si="1"/>
        <v>1/2026</v>
      </c>
      <c r="B386" s="25">
        <v>46048.67493983796</v>
      </c>
      <c r="C386" s="21" t="s">
        <v>1181</v>
      </c>
      <c r="D386" s="21" t="s">
        <v>1613</v>
      </c>
      <c r="E386" s="21" t="s">
        <v>1189</v>
      </c>
      <c r="F386" s="21" t="s">
        <v>18</v>
      </c>
      <c r="G386" s="21" t="s">
        <v>1614</v>
      </c>
      <c r="H386" s="21" t="s">
        <v>141</v>
      </c>
      <c r="I386" s="31" t="s">
        <v>1615</v>
      </c>
      <c r="J386" s="21" t="s">
        <v>1616</v>
      </c>
      <c r="K386" s="21" t="s">
        <v>1189</v>
      </c>
      <c r="L386" s="27"/>
      <c r="M386" s="15"/>
      <c r="N386" s="24">
        <v>50000.0</v>
      </c>
      <c r="O386" s="16"/>
    </row>
    <row r="387" ht="22.5" customHeight="1">
      <c r="A387" s="25" t="str">
        <f t="shared" si="1"/>
        <v>1/2026</v>
      </c>
      <c r="B387" s="25">
        <v>46048.676135497684</v>
      </c>
      <c r="C387" s="21" t="s">
        <v>1181</v>
      </c>
      <c r="D387" s="21" t="s">
        <v>1617</v>
      </c>
      <c r="E387" s="21" t="s">
        <v>1189</v>
      </c>
      <c r="F387" s="21" t="s">
        <v>18</v>
      </c>
      <c r="G387" s="21" t="s">
        <v>1618</v>
      </c>
      <c r="H387" s="21" t="s">
        <v>141</v>
      </c>
      <c r="I387" s="29" t="s">
        <v>1619</v>
      </c>
      <c r="J387" s="21" t="s">
        <v>1620</v>
      </c>
      <c r="K387" s="21" t="s">
        <v>1189</v>
      </c>
      <c r="L387" s="27"/>
      <c r="M387" s="15"/>
      <c r="N387" s="24">
        <v>50000.0</v>
      </c>
      <c r="O387" s="16"/>
    </row>
    <row r="388" ht="22.5" customHeight="1">
      <c r="A388" s="25" t="str">
        <f t="shared" si="1"/>
        <v>1/2026</v>
      </c>
      <c r="B388" s="25">
        <v>46048.769461759264</v>
      </c>
      <c r="C388" s="21" t="s">
        <v>386</v>
      </c>
      <c r="D388" s="21" t="s">
        <v>1621</v>
      </c>
      <c r="E388" s="26" t="s">
        <v>1622</v>
      </c>
      <c r="F388" s="21" t="s">
        <v>18</v>
      </c>
      <c r="G388" s="21" t="s">
        <v>1083</v>
      </c>
      <c r="H388" s="21" t="s">
        <v>36</v>
      </c>
      <c r="I388" s="21" t="s">
        <v>1623</v>
      </c>
      <c r="J388" s="21" t="s">
        <v>1624</v>
      </c>
      <c r="K388" s="21">
        <v>1.39824102800055E14</v>
      </c>
      <c r="L388" s="27"/>
      <c r="M388" s="15"/>
      <c r="N388" s="24">
        <v>120000.0</v>
      </c>
      <c r="O388" s="16"/>
    </row>
    <row r="389" ht="22.5" customHeight="1">
      <c r="A389" s="25" t="str">
        <f t="shared" si="1"/>
        <v>1/2026</v>
      </c>
      <c r="B389" s="25">
        <v>46048.77073189815</v>
      </c>
      <c r="C389" s="21" t="s">
        <v>386</v>
      </c>
      <c r="D389" s="21" t="s">
        <v>1625</v>
      </c>
      <c r="E389" s="26" t="s">
        <v>1626</v>
      </c>
      <c r="F389" s="21" t="s">
        <v>18</v>
      </c>
      <c r="G389" s="21" t="s">
        <v>931</v>
      </c>
      <c r="H389" s="21" t="s">
        <v>36</v>
      </c>
      <c r="I389" s="21" t="s">
        <v>1627</v>
      </c>
      <c r="J389" s="21" t="s">
        <v>1628</v>
      </c>
      <c r="K389" s="21">
        <v>1.39822102000116E14</v>
      </c>
      <c r="L389" s="27"/>
      <c r="M389" s="15"/>
      <c r="N389" s="24">
        <v>120000.0</v>
      </c>
      <c r="O389" s="16"/>
    </row>
    <row r="390" ht="22.5" customHeight="1">
      <c r="A390" s="25" t="str">
        <f t="shared" si="1"/>
        <v>1/2026</v>
      </c>
      <c r="B390" s="25">
        <v>46048.77483984954</v>
      </c>
      <c r="C390" s="21" t="s">
        <v>226</v>
      </c>
      <c r="D390" s="21" t="s">
        <v>1629</v>
      </c>
      <c r="E390" s="26" t="s">
        <v>1630</v>
      </c>
      <c r="F390" s="21" t="s">
        <v>18</v>
      </c>
      <c r="G390" s="21" t="s">
        <v>1631</v>
      </c>
      <c r="H390" s="21" t="s">
        <v>36</v>
      </c>
      <c r="I390" s="21" t="s">
        <v>1632</v>
      </c>
      <c r="J390" s="21" t="s">
        <v>1136</v>
      </c>
      <c r="K390" s="21">
        <v>8.92821080500225E14</v>
      </c>
      <c r="L390" s="27"/>
      <c r="M390" s="15"/>
      <c r="N390" s="24">
        <v>120000.0</v>
      </c>
      <c r="O390" s="16"/>
    </row>
    <row r="391" ht="22.5" customHeight="1">
      <c r="A391" s="25" t="str">
        <f t="shared" si="1"/>
        <v>1/2026</v>
      </c>
      <c r="B391" s="25">
        <v>46048.77536136574</v>
      </c>
      <c r="C391" s="21" t="s">
        <v>386</v>
      </c>
      <c r="D391" s="21" t="s">
        <v>1633</v>
      </c>
      <c r="E391" s="26" t="s">
        <v>1634</v>
      </c>
      <c r="F391" s="21" t="s">
        <v>18</v>
      </c>
      <c r="G391" s="21" t="s">
        <v>1083</v>
      </c>
      <c r="H391" s="21" t="s">
        <v>36</v>
      </c>
      <c r="I391" s="21" t="s">
        <v>1635</v>
      </c>
      <c r="J391" s="21" t="s">
        <v>1628</v>
      </c>
      <c r="K391" s="21">
        <v>1.39824102800509E14</v>
      </c>
      <c r="L391" s="27"/>
      <c r="M391" s="15"/>
      <c r="N391" s="24">
        <v>120000.0</v>
      </c>
      <c r="O391" s="16"/>
    </row>
    <row r="392" ht="22.5" customHeight="1">
      <c r="A392" s="25" t="str">
        <f t="shared" si="1"/>
        <v>1/2026</v>
      </c>
      <c r="B392" s="25">
        <v>46048.77682799769</v>
      </c>
      <c r="C392" s="21" t="s">
        <v>386</v>
      </c>
      <c r="D392" s="21" t="s">
        <v>1636</v>
      </c>
      <c r="E392" s="26" t="s">
        <v>1637</v>
      </c>
      <c r="F392" s="21" t="s">
        <v>18</v>
      </c>
      <c r="G392" s="21" t="s">
        <v>1638</v>
      </c>
      <c r="H392" s="21" t="s">
        <v>20</v>
      </c>
      <c r="I392" s="21" t="s">
        <v>1639</v>
      </c>
      <c r="J392" s="21" t="s">
        <v>1640</v>
      </c>
      <c r="K392" s="21">
        <v>1.85825082200058E14</v>
      </c>
      <c r="L392" s="27"/>
      <c r="M392" s="15"/>
      <c r="N392" s="9">
        <v>250000.0</v>
      </c>
      <c r="O392" s="16"/>
    </row>
    <row r="393" ht="22.5" customHeight="1">
      <c r="A393" s="25" t="str">
        <f t="shared" si="1"/>
        <v>1/2026</v>
      </c>
      <c r="B393" s="25">
        <v>46048.80747347222</v>
      </c>
      <c r="C393" s="21" t="s">
        <v>32</v>
      </c>
      <c r="D393" s="21" t="s">
        <v>1641</v>
      </c>
      <c r="E393" s="26" t="s">
        <v>1642</v>
      </c>
      <c r="F393" s="21" t="s">
        <v>18</v>
      </c>
      <c r="G393" s="21" t="s">
        <v>1643</v>
      </c>
      <c r="H393" s="21" t="s">
        <v>36</v>
      </c>
      <c r="I393" s="21" t="s">
        <v>1644</v>
      </c>
      <c r="J393" s="21" t="s">
        <v>1645</v>
      </c>
      <c r="K393" s="21">
        <v>1.39824092700242E14</v>
      </c>
      <c r="L393" s="27"/>
      <c r="M393" s="15"/>
      <c r="N393" s="24">
        <v>120000.0</v>
      </c>
      <c r="O393" s="16"/>
    </row>
    <row r="394" ht="22.5" customHeight="1">
      <c r="A394" s="25" t="str">
        <f t="shared" si="1"/>
        <v>1/2026</v>
      </c>
      <c r="B394" s="25">
        <v>46048.818994270834</v>
      </c>
      <c r="C394" s="21" t="s">
        <v>115</v>
      </c>
      <c r="D394" s="21" t="s">
        <v>1646</v>
      </c>
      <c r="E394" s="26" t="s">
        <v>1647</v>
      </c>
      <c r="F394" s="21" t="s">
        <v>118</v>
      </c>
      <c r="G394" s="21" t="s">
        <v>178</v>
      </c>
      <c r="H394" s="21" t="s">
        <v>36</v>
      </c>
      <c r="I394" s="21" t="s">
        <v>1648</v>
      </c>
      <c r="J394" s="21" t="s">
        <v>965</v>
      </c>
      <c r="K394" s="21" t="s">
        <v>122</v>
      </c>
      <c r="L394" s="27"/>
      <c r="M394" s="15"/>
      <c r="N394" s="24">
        <v>150000.0</v>
      </c>
      <c r="O394" s="16"/>
    </row>
    <row r="395" ht="22.5" customHeight="1">
      <c r="A395" s="25" t="str">
        <f t="shared" si="1"/>
        <v>1/2026</v>
      </c>
      <c r="B395" s="25">
        <v>46048.82281174768</v>
      </c>
      <c r="C395" s="21" t="s">
        <v>115</v>
      </c>
      <c r="D395" s="21" t="s">
        <v>1129</v>
      </c>
      <c r="E395" s="26" t="s">
        <v>1130</v>
      </c>
      <c r="F395" s="21" t="s">
        <v>118</v>
      </c>
      <c r="G395" s="21" t="s">
        <v>1649</v>
      </c>
      <c r="H395" s="21" t="s">
        <v>141</v>
      </c>
      <c r="I395" s="21" t="s">
        <v>1650</v>
      </c>
      <c r="J395" s="21" t="s">
        <v>1651</v>
      </c>
      <c r="K395" s="21" t="s">
        <v>122</v>
      </c>
      <c r="L395" s="27"/>
      <c r="M395" s="15"/>
      <c r="N395" s="24">
        <v>50000.0</v>
      </c>
      <c r="O395" s="16"/>
    </row>
    <row r="396" ht="22.5" customHeight="1">
      <c r="A396" s="25" t="str">
        <f t="shared" si="1"/>
        <v>1/2026</v>
      </c>
      <c r="B396" s="25">
        <v>46048.82512217593</v>
      </c>
      <c r="C396" s="21" t="s">
        <v>115</v>
      </c>
      <c r="D396" s="21" t="s">
        <v>1129</v>
      </c>
      <c r="E396" s="26" t="s">
        <v>1130</v>
      </c>
      <c r="F396" s="21" t="s">
        <v>118</v>
      </c>
      <c r="G396" s="21" t="s">
        <v>1652</v>
      </c>
      <c r="H396" s="21" t="s">
        <v>141</v>
      </c>
      <c r="I396" s="21" t="s">
        <v>1653</v>
      </c>
      <c r="J396" s="21" t="s">
        <v>1654</v>
      </c>
      <c r="K396" s="21" t="s">
        <v>122</v>
      </c>
      <c r="L396" s="27"/>
      <c r="M396" s="15"/>
      <c r="N396" s="24">
        <v>50000.0</v>
      </c>
      <c r="O396" s="16"/>
    </row>
    <row r="397" ht="22.5" customHeight="1">
      <c r="A397" s="25" t="str">
        <f t="shared" si="1"/>
        <v>1/2026</v>
      </c>
      <c r="B397" s="25">
        <v>46048.82682232639</v>
      </c>
      <c r="C397" s="21" t="s">
        <v>115</v>
      </c>
      <c r="D397" s="21" t="s">
        <v>1655</v>
      </c>
      <c r="E397" s="26" t="s">
        <v>1656</v>
      </c>
      <c r="F397" s="21" t="s">
        <v>118</v>
      </c>
      <c r="G397" s="21" t="s">
        <v>178</v>
      </c>
      <c r="H397" s="21" t="s">
        <v>141</v>
      </c>
      <c r="I397" s="21" t="s">
        <v>1657</v>
      </c>
      <c r="J397" s="21" t="s">
        <v>965</v>
      </c>
      <c r="K397" s="21" t="s">
        <v>122</v>
      </c>
      <c r="L397" s="27"/>
      <c r="M397" s="15"/>
      <c r="N397" s="24">
        <v>0.0</v>
      </c>
      <c r="O397" s="16"/>
    </row>
    <row r="398" ht="22.5" customHeight="1">
      <c r="A398" s="25" t="str">
        <f t="shared" si="1"/>
        <v>1/2026</v>
      </c>
      <c r="B398" s="25">
        <v>46048.82789871527</v>
      </c>
      <c r="C398" s="21" t="s">
        <v>115</v>
      </c>
      <c r="D398" s="21" t="s">
        <v>1658</v>
      </c>
      <c r="E398" s="26" t="s">
        <v>1659</v>
      </c>
      <c r="F398" s="21" t="s">
        <v>118</v>
      </c>
      <c r="G398" s="21" t="s">
        <v>1124</v>
      </c>
      <c r="H398" s="21" t="s">
        <v>36</v>
      </c>
      <c r="I398" s="21" t="s">
        <v>1660</v>
      </c>
      <c r="J398" s="21" t="s">
        <v>965</v>
      </c>
      <c r="K398" s="21" t="s">
        <v>122</v>
      </c>
      <c r="L398" s="27"/>
      <c r="M398" s="15"/>
      <c r="N398" s="24">
        <v>0.0</v>
      </c>
      <c r="O398" s="16"/>
    </row>
    <row r="399" ht="22.5" customHeight="1">
      <c r="A399" s="25" t="str">
        <f t="shared" si="1"/>
        <v>1/2026</v>
      </c>
      <c r="B399" s="25">
        <v>46048.828990208334</v>
      </c>
      <c r="C399" s="21" t="s">
        <v>115</v>
      </c>
      <c r="D399" s="21" t="s">
        <v>1661</v>
      </c>
      <c r="E399" s="26" t="s">
        <v>1662</v>
      </c>
      <c r="F399" s="21" t="s">
        <v>118</v>
      </c>
      <c r="G399" s="21" t="s">
        <v>178</v>
      </c>
      <c r="H399" s="21" t="s">
        <v>36</v>
      </c>
      <c r="I399" s="21" t="s">
        <v>1663</v>
      </c>
      <c r="J399" s="21" t="s">
        <v>965</v>
      </c>
      <c r="K399" s="21" t="s">
        <v>122</v>
      </c>
      <c r="L399" s="27"/>
      <c r="M399" s="15"/>
      <c r="N399" s="24">
        <v>0.0</v>
      </c>
      <c r="O399" s="16"/>
    </row>
    <row r="400" ht="22.5" customHeight="1">
      <c r="A400" s="25" t="str">
        <f t="shared" si="1"/>
        <v>1/2026</v>
      </c>
      <c r="B400" s="25">
        <v>46048.83038162037</v>
      </c>
      <c r="C400" s="21" t="s">
        <v>115</v>
      </c>
      <c r="D400" s="21" t="s">
        <v>1664</v>
      </c>
      <c r="E400" s="26" t="s">
        <v>1665</v>
      </c>
      <c r="F400" s="21" t="s">
        <v>118</v>
      </c>
      <c r="G400" s="21" t="s">
        <v>1124</v>
      </c>
      <c r="H400" s="21" t="s">
        <v>36</v>
      </c>
      <c r="I400" s="21" t="s">
        <v>1666</v>
      </c>
      <c r="J400" s="21" t="s">
        <v>965</v>
      </c>
      <c r="K400" s="21" t="s">
        <v>122</v>
      </c>
      <c r="L400" s="27"/>
      <c r="M400" s="15"/>
      <c r="N400" s="24">
        <v>0.0</v>
      </c>
      <c r="O400" s="16"/>
    </row>
    <row r="401" ht="22.5" customHeight="1">
      <c r="A401" s="25" t="str">
        <f t="shared" si="1"/>
        <v>1/2026</v>
      </c>
      <c r="B401" s="25">
        <v>46048.83134039352</v>
      </c>
      <c r="C401" s="21" t="s">
        <v>115</v>
      </c>
      <c r="D401" s="21" t="s">
        <v>1667</v>
      </c>
      <c r="E401" s="26" t="s">
        <v>1668</v>
      </c>
      <c r="F401" s="21" t="s">
        <v>118</v>
      </c>
      <c r="G401" s="21" t="s">
        <v>1291</v>
      </c>
      <c r="H401" s="21" t="s">
        <v>36</v>
      </c>
      <c r="I401" s="21" t="s">
        <v>1669</v>
      </c>
      <c r="J401" s="21" t="s">
        <v>965</v>
      </c>
      <c r="K401" s="21" t="s">
        <v>122</v>
      </c>
      <c r="L401" s="27"/>
      <c r="M401" s="15"/>
      <c r="N401" s="24">
        <v>0.0</v>
      </c>
      <c r="O401" s="16"/>
    </row>
    <row r="402" ht="22.5" customHeight="1">
      <c r="A402" s="25" t="str">
        <f t="shared" si="1"/>
        <v>1/2026</v>
      </c>
      <c r="B402" s="25">
        <v>46048.84475853009</v>
      </c>
      <c r="C402" s="21" t="s">
        <v>51</v>
      </c>
      <c r="D402" s="21" t="s">
        <v>1670</v>
      </c>
      <c r="E402" s="26" t="s">
        <v>677</v>
      </c>
      <c r="F402" s="21" t="s">
        <v>18</v>
      </c>
      <c r="G402" s="21" t="s">
        <v>217</v>
      </c>
      <c r="H402" s="21" t="s">
        <v>305</v>
      </c>
      <c r="I402" s="21" t="s">
        <v>1671</v>
      </c>
      <c r="J402" s="21" t="s">
        <v>1672</v>
      </c>
      <c r="K402" s="21">
        <v>1.85825082200145E14</v>
      </c>
      <c r="L402" s="27"/>
      <c r="M402" s="15"/>
      <c r="N402" s="24">
        <v>120000.0</v>
      </c>
      <c r="O402" s="16"/>
    </row>
    <row r="403" ht="22.5" customHeight="1">
      <c r="A403" s="25" t="str">
        <f t="shared" si="1"/>
        <v>1/2026</v>
      </c>
      <c r="B403" s="25">
        <v>46048.84840163194</v>
      </c>
      <c r="C403" s="21" t="s">
        <v>51</v>
      </c>
      <c r="D403" s="21" t="s">
        <v>265</v>
      </c>
      <c r="E403" s="26" t="s">
        <v>266</v>
      </c>
      <c r="F403" s="21" t="s">
        <v>18</v>
      </c>
      <c r="G403" s="21" t="s">
        <v>30</v>
      </c>
      <c r="H403" s="21" t="s">
        <v>425</v>
      </c>
      <c r="I403" s="21" t="s">
        <v>1673</v>
      </c>
      <c r="J403" s="21" t="s">
        <v>1674</v>
      </c>
      <c r="K403" s="21">
        <v>1.86825082100167E14</v>
      </c>
      <c r="L403" s="27"/>
      <c r="M403" s="15"/>
      <c r="N403" s="24">
        <v>120000.0</v>
      </c>
      <c r="O403" s="16"/>
    </row>
    <row r="404" ht="22.5" customHeight="1">
      <c r="A404" s="25" t="str">
        <f t="shared" si="1"/>
        <v>1/2026</v>
      </c>
      <c r="B404" s="25">
        <v>46048.99551471065</v>
      </c>
      <c r="C404" s="21" t="s">
        <v>132</v>
      </c>
      <c r="D404" s="21" t="s">
        <v>1675</v>
      </c>
      <c r="E404" s="26" t="s">
        <v>1676</v>
      </c>
      <c r="F404" s="21" t="s">
        <v>18</v>
      </c>
      <c r="G404" s="21" t="s">
        <v>1677</v>
      </c>
      <c r="H404" s="21" t="s">
        <v>1678</v>
      </c>
      <c r="I404" s="21" t="s">
        <v>1679</v>
      </c>
      <c r="J404" s="21" t="s">
        <v>1680</v>
      </c>
      <c r="K404" s="21">
        <v>8.92821080500304E14</v>
      </c>
      <c r="L404" s="27"/>
      <c r="M404" s="15"/>
      <c r="N404" s="24">
        <v>200000.0</v>
      </c>
      <c r="O404" s="16"/>
    </row>
    <row r="405" ht="22.5" customHeight="1">
      <c r="A405" s="25" t="str">
        <f t="shared" si="1"/>
        <v>1/2026</v>
      </c>
      <c r="B405" s="25">
        <v>46048.99842542824</v>
      </c>
      <c r="C405" s="21" t="s">
        <v>132</v>
      </c>
      <c r="D405" s="21" t="s">
        <v>1681</v>
      </c>
      <c r="E405" s="26" t="s">
        <v>1682</v>
      </c>
      <c r="F405" s="21" t="s">
        <v>18</v>
      </c>
      <c r="G405" s="21" t="s">
        <v>1415</v>
      </c>
      <c r="H405" s="21" t="s">
        <v>20</v>
      </c>
      <c r="I405" s="21" t="s">
        <v>1683</v>
      </c>
      <c r="J405" s="21" t="s">
        <v>1684</v>
      </c>
      <c r="K405" s="21">
        <v>1.83825082100068E14</v>
      </c>
      <c r="L405" s="27"/>
      <c r="M405" s="15"/>
      <c r="N405" s="24">
        <v>0.0</v>
      </c>
      <c r="O405" s="16"/>
    </row>
    <row r="406" ht="22.5" customHeight="1">
      <c r="A406" s="25" t="str">
        <f t="shared" si="1"/>
        <v>1/2026</v>
      </c>
      <c r="B406" s="25">
        <v>46049.431667013894</v>
      </c>
      <c r="C406" s="21" t="s">
        <v>618</v>
      </c>
      <c r="D406" s="21" t="s">
        <v>1685</v>
      </c>
      <c r="E406" s="26" t="s">
        <v>1686</v>
      </c>
      <c r="F406" s="21" t="s">
        <v>118</v>
      </c>
      <c r="G406" s="21" t="s">
        <v>854</v>
      </c>
      <c r="H406" s="21" t="s">
        <v>44</v>
      </c>
      <c r="I406" s="21" t="s">
        <v>1687</v>
      </c>
      <c r="J406" s="21" t="s">
        <v>1688</v>
      </c>
      <c r="K406" s="21">
        <v>1.85825082200038E14</v>
      </c>
      <c r="L406" s="27"/>
      <c r="M406" s="15"/>
      <c r="N406" s="24">
        <v>200000.0</v>
      </c>
      <c r="O406" s="16">
        <f>50*3000</f>
        <v>150000</v>
      </c>
    </row>
    <row r="407" ht="22.5" customHeight="1">
      <c r="A407" s="25" t="str">
        <f t="shared" si="1"/>
        <v>1/2026</v>
      </c>
      <c r="B407" s="25">
        <v>46049.65607612269</v>
      </c>
      <c r="C407" s="21" t="s">
        <v>22</v>
      </c>
      <c r="D407" s="21" t="s">
        <v>1689</v>
      </c>
      <c r="E407" s="26" t="s">
        <v>1690</v>
      </c>
      <c r="F407" s="21" t="s">
        <v>18</v>
      </c>
      <c r="G407" s="21" t="s">
        <v>19</v>
      </c>
      <c r="H407" s="21" t="s">
        <v>20</v>
      </c>
      <c r="I407" s="21" t="s">
        <v>1691</v>
      </c>
      <c r="J407" s="21" t="s">
        <v>1692</v>
      </c>
      <c r="K407" s="21">
        <v>1.85825082200105E14</v>
      </c>
      <c r="L407" s="27"/>
      <c r="M407" s="15"/>
      <c r="N407" s="24">
        <v>200000.0</v>
      </c>
      <c r="O407" s="16"/>
    </row>
    <row r="408" ht="22.5" customHeight="1">
      <c r="A408" s="25" t="str">
        <f t="shared" si="1"/>
        <v>1/2026</v>
      </c>
      <c r="B408" s="25">
        <v>46049.72519863426</v>
      </c>
      <c r="C408" s="21" t="s">
        <v>246</v>
      </c>
      <c r="D408" s="21" t="s">
        <v>1693</v>
      </c>
      <c r="E408" s="26" t="s">
        <v>1694</v>
      </c>
      <c r="F408" s="21" t="s">
        <v>249</v>
      </c>
      <c r="G408" s="21" t="s">
        <v>1062</v>
      </c>
      <c r="H408" s="21" t="s">
        <v>44</v>
      </c>
      <c r="I408" s="21" t="s">
        <v>1695</v>
      </c>
      <c r="J408" s="21" t="s">
        <v>1696</v>
      </c>
      <c r="K408" s="21">
        <v>1.85825082200068E14</v>
      </c>
      <c r="L408" s="27"/>
      <c r="M408" s="15"/>
      <c r="N408" s="24">
        <v>0.0</v>
      </c>
      <c r="O408" s="16"/>
    </row>
    <row r="409" ht="22.5" customHeight="1">
      <c r="A409" s="25" t="str">
        <f t="shared" si="1"/>
        <v>1/2026</v>
      </c>
      <c r="B409" s="25">
        <v>46050.367325694446</v>
      </c>
      <c r="C409" s="21" t="s">
        <v>226</v>
      </c>
      <c r="D409" s="21" t="s">
        <v>1697</v>
      </c>
      <c r="E409" s="26" t="s">
        <v>1698</v>
      </c>
      <c r="F409" s="21" t="s">
        <v>18</v>
      </c>
      <c r="G409" s="21" t="s">
        <v>1699</v>
      </c>
      <c r="H409" s="21" t="s">
        <v>36</v>
      </c>
      <c r="I409" s="21" t="s">
        <v>1700</v>
      </c>
      <c r="J409" s="21" t="s">
        <v>1136</v>
      </c>
      <c r="K409" s="21">
        <v>1.19824092800349E14</v>
      </c>
      <c r="L409" s="27"/>
      <c r="M409" s="15"/>
      <c r="N409" s="24">
        <v>120000.0</v>
      </c>
      <c r="O409" s="16"/>
    </row>
    <row r="410" ht="22.5" customHeight="1">
      <c r="A410" s="25" t="str">
        <f t="shared" si="1"/>
        <v>1/2026</v>
      </c>
      <c r="B410" s="25">
        <v>46050.714475416666</v>
      </c>
      <c r="C410" s="21" t="s">
        <v>618</v>
      </c>
      <c r="D410" s="21" t="s">
        <v>1701</v>
      </c>
      <c r="E410" s="26" t="s">
        <v>1702</v>
      </c>
      <c r="F410" s="21" t="s">
        <v>118</v>
      </c>
      <c r="G410" s="21" t="s">
        <v>854</v>
      </c>
      <c r="H410" s="21" t="s">
        <v>20</v>
      </c>
      <c r="I410" s="21" t="s">
        <v>1703</v>
      </c>
      <c r="J410" s="21" t="s">
        <v>1598</v>
      </c>
      <c r="K410" s="21">
        <v>1.85825082200133E14</v>
      </c>
      <c r="L410" s="27"/>
      <c r="M410" s="15"/>
      <c r="N410" s="24">
        <v>200000.0</v>
      </c>
      <c r="O410" s="16">
        <f>8*3000</f>
        <v>24000</v>
      </c>
    </row>
    <row r="411" ht="22.5" customHeight="1">
      <c r="A411" s="25" t="str">
        <f t="shared" si="1"/>
        <v>1/2026</v>
      </c>
      <c r="B411" s="25">
        <v>46050.733477974536</v>
      </c>
      <c r="C411" s="21" t="s">
        <v>226</v>
      </c>
      <c r="D411" s="21" t="s">
        <v>1704</v>
      </c>
      <c r="E411" s="21" t="s">
        <v>1705</v>
      </c>
      <c r="F411" s="21" t="s">
        <v>18</v>
      </c>
      <c r="G411" s="21" t="s">
        <v>1706</v>
      </c>
      <c r="H411" s="21" t="s">
        <v>20</v>
      </c>
      <c r="I411" s="30" t="s">
        <v>1707</v>
      </c>
      <c r="J411" s="21" t="s">
        <v>1708</v>
      </c>
      <c r="K411" s="21">
        <v>1.85825082200043E14</v>
      </c>
      <c r="L411" s="27"/>
      <c r="M411" s="15"/>
      <c r="N411" s="24">
        <v>200000.0</v>
      </c>
      <c r="O411" s="16"/>
    </row>
    <row r="412" ht="22.5" customHeight="1">
      <c r="A412" s="25" t="str">
        <f t="shared" si="1"/>
        <v>1/2026</v>
      </c>
      <c r="B412" s="25">
        <v>46050.74157787037</v>
      </c>
      <c r="C412" s="21" t="s">
        <v>32</v>
      </c>
      <c r="D412" s="21" t="s">
        <v>1709</v>
      </c>
      <c r="E412" s="26" t="s">
        <v>1710</v>
      </c>
      <c r="F412" s="21" t="s">
        <v>18</v>
      </c>
      <c r="G412" s="21" t="s">
        <v>1711</v>
      </c>
      <c r="H412" s="21" t="s">
        <v>36</v>
      </c>
      <c r="I412" s="21" t="s">
        <v>1712</v>
      </c>
      <c r="J412" s="21" t="s">
        <v>1713</v>
      </c>
      <c r="K412" s="21">
        <v>8.92823021300053E14</v>
      </c>
      <c r="L412" s="27"/>
      <c r="M412" s="15"/>
      <c r="N412" s="24">
        <v>120000.0</v>
      </c>
      <c r="O412" s="16"/>
    </row>
    <row r="413" ht="22.5" customHeight="1">
      <c r="A413" s="25" t="str">
        <f t="shared" si="1"/>
        <v>1/2026</v>
      </c>
      <c r="B413" s="25">
        <v>46050.761272442134</v>
      </c>
      <c r="C413" s="21" t="s">
        <v>1181</v>
      </c>
      <c r="D413" s="21" t="s">
        <v>1221</v>
      </c>
      <c r="E413" s="21" t="s">
        <v>1221</v>
      </c>
      <c r="F413" s="21" t="s">
        <v>18</v>
      </c>
      <c r="G413" s="21" t="s">
        <v>1221</v>
      </c>
      <c r="H413" s="21" t="s">
        <v>20</v>
      </c>
      <c r="I413" s="21" t="s">
        <v>1714</v>
      </c>
      <c r="J413" s="21" t="s">
        <v>1715</v>
      </c>
      <c r="K413" s="21" t="s">
        <v>1221</v>
      </c>
      <c r="L413" s="27"/>
      <c r="M413" s="15"/>
      <c r="N413" s="24">
        <v>150000.0</v>
      </c>
      <c r="O413" s="16"/>
    </row>
    <row r="414" ht="22.5" customHeight="1">
      <c r="A414" s="25" t="str">
        <f t="shared" si="1"/>
        <v>1/2026</v>
      </c>
      <c r="B414" s="25">
        <v>46050.83488722223</v>
      </c>
      <c r="C414" s="21" t="s">
        <v>15</v>
      </c>
      <c r="D414" s="21" t="s">
        <v>1716</v>
      </c>
      <c r="E414" s="26" t="s">
        <v>1717</v>
      </c>
      <c r="F414" s="21" t="s">
        <v>18</v>
      </c>
      <c r="G414" s="21" t="s">
        <v>609</v>
      </c>
      <c r="H414" s="21" t="s">
        <v>44</v>
      </c>
      <c r="I414" s="31" t="s">
        <v>1718</v>
      </c>
      <c r="J414" s="21" t="s">
        <v>55</v>
      </c>
      <c r="K414" s="21">
        <v>1.8582508220014E14</v>
      </c>
      <c r="L414" s="27"/>
      <c r="M414" s="15"/>
      <c r="N414" s="24">
        <v>200000.0</v>
      </c>
      <c r="O414" s="9"/>
    </row>
    <row r="415" ht="22.5" customHeight="1">
      <c r="A415" s="25" t="str">
        <f t="shared" si="1"/>
        <v>1/2026</v>
      </c>
      <c r="B415" s="25">
        <v>46050.8361003125</v>
      </c>
      <c r="C415" s="21" t="s">
        <v>15</v>
      </c>
      <c r="D415" s="21" t="s">
        <v>1719</v>
      </c>
      <c r="E415" s="26" t="s">
        <v>1720</v>
      </c>
      <c r="F415" s="21" t="s">
        <v>18</v>
      </c>
      <c r="G415" s="21" t="s">
        <v>609</v>
      </c>
      <c r="H415" s="21" t="s">
        <v>537</v>
      </c>
      <c r="I415" s="21" t="s">
        <v>1721</v>
      </c>
      <c r="J415" s="21" t="s">
        <v>55</v>
      </c>
      <c r="K415" s="21" t="s">
        <v>122</v>
      </c>
      <c r="L415" s="27"/>
      <c r="M415" s="15"/>
      <c r="N415" s="24">
        <v>300000.0</v>
      </c>
      <c r="O415" s="16"/>
    </row>
    <row r="416" ht="22.5" customHeight="1">
      <c r="A416" s="25" t="str">
        <f t="shared" si="1"/>
        <v>1/2026</v>
      </c>
      <c r="B416" s="25">
        <v>46050.90702442129</v>
      </c>
      <c r="C416" s="21" t="s">
        <v>51</v>
      </c>
      <c r="D416" s="21" t="s">
        <v>1722</v>
      </c>
      <c r="E416" s="26" t="s">
        <v>1723</v>
      </c>
      <c r="F416" s="21" t="s">
        <v>18</v>
      </c>
      <c r="G416" s="21" t="s">
        <v>1724</v>
      </c>
      <c r="H416" s="21" t="s">
        <v>537</v>
      </c>
      <c r="I416" s="21" t="s">
        <v>1725</v>
      </c>
      <c r="J416" s="21" t="s">
        <v>771</v>
      </c>
      <c r="K416" s="21" t="s">
        <v>1726</v>
      </c>
      <c r="L416" s="27"/>
      <c r="M416" s="15"/>
      <c r="N416" s="24">
        <v>500000.0</v>
      </c>
      <c r="O416" s="16"/>
    </row>
    <row r="417" ht="22.5" customHeight="1">
      <c r="A417" s="25" t="str">
        <f t="shared" si="1"/>
        <v>1/2026</v>
      </c>
      <c r="B417" s="25">
        <v>46051.415483993056</v>
      </c>
      <c r="C417" s="21" t="s">
        <v>1181</v>
      </c>
      <c r="D417" s="21" t="s">
        <v>1727</v>
      </c>
      <c r="E417" s="21" t="s">
        <v>1727</v>
      </c>
      <c r="F417" s="21" t="s">
        <v>18</v>
      </c>
      <c r="G417" s="21" t="s">
        <v>1728</v>
      </c>
      <c r="H417" s="21" t="s">
        <v>141</v>
      </c>
      <c r="I417" s="21" t="s">
        <v>1729</v>
      </c>
      <c r="J417" s="21" t="s">
        <v>1730</v>
      </c>
      <c r="K417" s="21" t="s">
        <v>1221</v>
      </c>
      <c r="L417" s="27"/>
      <c r="M417" s="15"/>
      <c r="N417" s="24">
        <v>50000.0</v>
      </c>
      <c r="O417" s="16"/>
    </row>
    <row r="418" ht="22.5" customHeight="1">
      <c r="A418" s="25" t="str">
        <f t="shared" si="1"/>
        <v>1/2026</v>
      </c>
      <c r="B418" s="25">
        <v>46051.41650291666</v>
      </c>
      <c r="C418" s="21" t="s">
        <v>1181</v>
      </c>
      <c r="D418" s="21" t="s">
        <v>1731</v>
      </c>
      <c r="E418" s="21" t="s">
        <v>1221</v>
      </c>
      <c r="F418" s="21" t="s">
        <v>18</v>
      </c>
      <c r="G418" s="21" t="s">
        <v>536</v>
      </c>
      <c r="H418" s="21" t="s">
        <v>20</v>
      </c>
      <c r="I418" s="21" t="s">
        <v>1732</v>
      </c>
      <c r="J418" s="21" t="s">
        <v>1733</v>
      </c>
      <c r="K418" s="21" t="s">
        <v>1221</v>
      </c>
      <c r="L418" s="27"/>
      <c r="M418" s="15"/>
      <c r="N418" s="24">
        <v>50000.0</v>
      </c>
      <c r="O418" s="16"/>
    </row>
    <row r="419" ht="22.5" customHeight="1">
      <c r="A419" s="25" t="str">
        <f t="shared" si="1"/>
        <v>1/2026</v>
      </c>
      <c r="B419" s="25">
        <v>46051.41761751157</v>
      </c>
      <c r="C419" s="21" t="s">
        <v>1181</v>
      </c>
      <c r="D419" s="21" t="s">
        <v>1221</v>
      </c>
      <c r="E419" s="21" t="s">
        <v>1221</v>
      </c>
      <c r="F419" s="21" t="s">
        <v>18</v>
      </c>
      <c r="G419" s="21" t="s">
        <v>1734</v>
      </c>
      <c r="H419" s="21" t="s">
        <v>141</v>
      </c>
      <c r="I419" s="29" t="s">
        <v>1735</v>
      </c>
      <c r="J419" s="21" t="s">
        <v>1736</v>
      </c>
      <c r="K419" s="21" t="s">
        <v>1221</v>
      </c>
      <c r="L419" s="27"/>
      <c r="M419" s="15"/>
      <c r="N419" s="24">
        <v>50000.0</v>
      </c>
      <c r="O419" s="16"/>
    </row>
    <row r="420" ht="22.5" customHeight="1">
      <c r="A420" s="25" t="str">
        <f t="shared" si="1"/>
        <v>1/2026</v>
      </c>
      <c r="B420" s="25">
        <v>46051.464157662034</v>
      </c>
      <c r="C420" s="21" t="s">
        <v>618</v>
      </c>
      <c r="D420" s="21" t="s">
        <v>1701</v>
      </c>
      <c r="E420" s="26" t="s">
        <v>1702</v>
      </c>
      <c r="F420" s="21" t="s">
        <v>118</v>
      </c>
      <c r="G420" s="21" t="s">
        <v>854</v>
      </c>
      <c r="H420" s="21" t="s">
        <v>20</v>
      </c>
      <c r="I420" s="30" t="s">
        <v>1737</v>
      </c>
      <c r="J420" s="21" t="s">
        <v>1738</v>
      </c>
      <c r="K420" s="21">
        <v>1.85825082200133E14</v>
      </c>
      <c r="L420" s="27"/>
      <c r="M420" s="15"/>
      <c r="N420" s="24">
        <v>200000.0</v>
      </c>
      <c r="O420" s="16">
        <f>9*3000</f>
        <v>27000</v>
      </c>
    </row>
    <row r="421" ht="22.5" customHeight="1">
      <c r="A421" s="25" t="str">
        <f t="shared" si="1"/>
        <v>1/2026</v>
      </c>
      <c r="B421" s="25">
        <v>46051.66397956018</v>
      </c>
      <c r="C421" s="21" t="s">
        <v>22</v>
      </c>
      <c r="D421" s="21" t="s">
        <v>23</v>
      </c>
      <c r="E421" s="26" t="s">
        <v>1739</v>
      </c>
      <c r="F421" s="21" t="s">
        <v>18</v>
      </c>
      <c r="G421" s="21" t="s">
        <v>49</v>
      </c>
      <c r="H421" s="21" t="s">
        <v>20</v>
      </c>
      <c r="I421" s="21" t="s">
        <v>1740</v>
      </c>
      <c r="J421" s="21" t="s">
        <v>1741</v>
      </c>
      <c r="K421" s="21">
        <v>1.84825082100194E14</v>
      </c>
      <c r="L421" s="27"/>
      <c r="M421" s="15"/>
      <c r="N421" s="24">
        <v>200000.0</v>
      </c>
      <c r="O421" s="16"/>
    </row>
    <row r="422" ht="22.5" customHeight="1">
      <c r="A422" s="25" t="str">
        <f t="shared" si="1"/>
        <v>1/2026</v>
      </c>
      <c r="B422" s="25">
        <v>46051.75361990741</v>
      </c>
      <c r="C422" s="21" t="s">
        <v>115</v>
      </c>
      <c r="D422" s="21" t="s">
        <v>1742</v>
      </c>
      <c r="E422" s="26" t="s">
        <v>1743</v>
      </c>
      <c r="F422" s="21" t="s">
        <v>118</v>
      </c>
      <c r="G422" s="21" t="s">
        <v>178</v>
      </c>
      <c r="H422" s="21" t="s">
        <v>36</v>
      </c>
      <c r="I422" s="21" t="s">
        <v>1744</v>
      </c>
      <c r="J422" s="21" t="s">
        <v>965</v>
      </c>
      <c r="K422" s="21" t="s">
        <v>122</v>
      </c>
      <c r="L422" s="27"/>
      <c r="M422" s="15"/>
      <c r="N422" s="24">
        <v>0.0</v>
      </c>
      <c r="O422" s="16"/>
    </row>
    <row r="423" ht="22.5" customHeight="1">
      <c r="A423" s="25" t="str">
        <f t="shared" si="1"/>
        <v>1/2026</v>
      </c>
      <c r="B423" s="25">
        <v>46051.754637060185</v>
      </c>
      <c r="C423" s="21" t="s">
        <v>115</v>
      </c>
      <c r="D423" s="21" t="s">
        <v>1745</v>
      </c>
      <c r="E423" s="26" t="s">
        <v>1746</v>
      </c>
      <c r="F423" s="21" t="s">
        <v>118</v>
      </c>
      <c r="G423" s="21" t="s">
        <v>1124</v>
      </c>
      <c r="H423" s="21" t="s">
        <v>141</v>
      </c>
      <c r="I423" s="21" t="s">
        <v>1747</v>
      </c>
      <c r="J423" s="21" t="s">
        <v>965</v>
      </c>
      <c r="K423" s="21" t="s">
        <v>122</v>
      </c>
      <c r="L423" s="27"/>
      <c r="M423" s="15"/>
      <c r="N423" s="24">
        <v>0.0</v>
      </c>
      <c r="O423" s="16"/>
    </row>
    <row r="424" ht="22.5" customHeight="1">
      <c r="A424" s="25" t="str">
        <f t="shared" si="1"/>
        <v>1/2026</v>
      </c>
      <c r="B424" s="25">
        <v>46051.756344444446</v>
      </c>
      <c r="C424" s="21" t="s">
        <v>115</v>
      </c>
      <c r="D424" s="21" t="s">
        <v>1748</v>
      </c>
      <c r="E424" s="26" t="s">
        <v>1749</v>
      </c>
      <c r="F424" s="21" t="s">
        <v>42</v>
      </c>
      <c r="G424" s="21" t="s">
        <v>1750</v>
      </c>
      <c r="H424" s="21" t="s">
        <v>141</v>
      </c>
      <c r="I424" s="21" t="s">
        <v>1751</v>
      </c>
      <c r="J424" s="21" t="s">
        <v>1752</v>
      </c>
      <c r="K424" s="21" t="s">
        <v>122</v>
      </c>
      <c r="L424" s="27"/>
      <c r="M424" s="15"/>
      <c r="N424" s="24">
        <v>80000.0</v>
      </c>
      <c r="O424" s="16"/>
    </row>
    <row r="425" ht="22.5" customHeight="1">
      <c r="A425" s="25" t="str">
        <f t="shared" si="1"/>
        <v>1/2026</v>
      </c>
      <c r="B425" s="25">
        <v>46051.757566342596</v>
      </c>
      <c r="C425" s="21" t="s">
        <v>115</v>
      </c>
      <c r="D425" s="21" t="s">
        <v>227</v>
      </c>
      <c r="E425" s="26" t="s">
        <v>1753</v>
      </c>
      <c r="F425" s="21" t="s">
        <v>118</v>
      </c>
      <c r="G425" s="21" t="s">
        <v>1754</v>
      </c>
      <c r="H425" s="21" t="s">
        <v>141</v>
      </c>
      <c r="I425" s="21" t="s">
        <v>1755</v>
      </c>
      <c r="J425" s="21" t="s">
        <v>1756</v>
      </c>
      <c r="K425" s="21" t="s">
        <v>122</v>
      </c>
      <c r="L425" s="27"/>
      <c r="M425" s="15"/>
      <c r="N425" s="24">
        <v>0.0</v>
      </c>
      <c r="O425" s="16"/>
    </row>
    <row r="426" ht="22.5" customHeight="1">
      <c r="A426" s="25" t="str">
        <f t="shared" si="1"/>
        <v>1/2026</v>
      </c>
      <c r="B426" s="25">
        <v>46051.75902516204</v>
      </c>
      <c r="C426" s="21" t="s">
        <v>115</v>
      </c>
      <c r="D426" s="21" t="s">
        <v>1129</v>
      </c>
      <c r="E426" s="26" t="s">
        <v>1130</v>
      </c>
      <c r="F426" s="21" t="s">
        <v>118</v>
      </c>
      <c r="G426" s="21" t="s">
        <v>178</v>
      </c>
      <c r="H426" s="21" t="s">
        <v>141</v>
      </c>
      <c r="I426" s="21" t="s">
        <v>1757</v>
      </c>
      <c r="J426" s="21" t="s">
        <v>1758</v>
      </c>
      <c r="K426" s="21" t="s">
        <v>122</v>
      </c>
      <c r="L426" s="27"/>
      <c r="M426" s="15"/>
      <c r="N426" s="24">
        <v>50000.0</v>
      </c>
      <c r="O426" s="16"/>
    </row>
    <row r="427" ht="22.5" customHeight="1">
      <c r="A427" s="25" t="str">
        <f t="shared" si="1"/>
        <v>1/2026</v>
      </c>
      <c r="B427" s="25">
        <v>46051.76031100695</v>
      </c>
      <c r="C427" s="21" t="s">
        <v>115</v>
      </c>
      <c r="D427" s="21" t="s">
        <v>1759</v>
      </c>
      <c r="E427" s="26" t="s">
        <v>1760</v>
      </c>
      <c r="F427" s="21" t="s">
        <v>118</v>
      </c>
      <c r="G427" s="21" t="s">
        <v>1761</v>
      </c>
      <c r="H427" s="21" t="s">
        <v>141</v>
      </c>
      <c r="I427" s="21" t="s">
        <v>1762</v>
      </c>
      <c r="J427" s="21" t="s">
        <v>1273</v>
      </c>
      <c r="K427" s="21" t="s">
        <v>122</v>
      </c>
      <c r="L427" s="27"/>
      <c r="M427" s="15"/>
      <c r="N427" s="24">
        <v>50000.0</v>
      </c>
      <c r="O427" s="16"/>
    </row>
    <row r="428" ht="22.5" customHeight="1">
      <c r="A428" s="25" t="str">
        <f t="shared" si="1"/>
        <v>1/2026</v>
      </c>
      <c r="B428" s="25">
        <v>46051.810635752314</v>
      </c>
      <c r="C428" s="21" t="s">
        <v>618</v>
      </c>
      <c r="D428" s="21" t="s">
        <v>1763</v>
      </c>
      <c r="E428" s="26" t="s">
        <v>1764</v>
      </c>
      <c r="F428" s="21" t="s">
        <v>118</v>
      </c>
      <c r="G428" s="21" t="s">
        <v>1765</v>
      </c>
      <c r="H428" s="21" t="s">
        <v>36</v>
      </c>
      <c r="I428" s="21" t="s">
        <v>1766</v>
      </c>
      <c r="J428" s="21" t="s">
        <v>1738</v>
      </c>
      <c r="K428" s="21">
        <v>8.92824061500144E14</v>
      </c>
      <c r="L428" s="27"/>
      <c r="M428" s="15"/>
      <c r="N428" s="24">
        <v>150000.0</v>
      </c>
      <c r="O428" s="16">
        <f>9*3000</f>
        <v>27000</v>
      </c>
    </row>
    <row r="429" ht="22.5" customHeight="1">
      <c r="A429" s="25" t="str">
        <f t="shared" si="1"/>
        <v>1/2026</v>
      </c>
      <c r="B429" s="25">
        <v>46051.87503925926</v>
      </c>
      <c r="C429" s="21" t="s">
        <v>32</v>
      </c>
      <c r="D429" s="21" t="s">
        <v>830</v>
      </c>
      <c r="E429" s="26" t="s">
        <v>1767</v>
      </c>
      <c r="F429" s="21" t="s">
        <v>18</v>
      </c>
      <c r="G429" s="21" t="s">
        <v>1768</v>
      </c>
      <c r="H429" s="21" t="s">
        <v>36</v>
      </c>
      <c r="I429" s="30" t="s">
        <v>1769</v>
      </c>
      <c r="J429" s="21" t="s">
        <v>199</v>
      </c>
      <c r="K429" s="21">
        <v>1.39824092700666E14</v>
      </c>
      <c r="L429" s="27"/>
      <c r="M429" s="15"/>
      <c r="N429" s="24">
        <v>120000.0</v>
      </c>
      <c r="O429" s="16"/>
    </row>
    <row r="430" ht="22.5" customHeight="1">
      <c r="A430" s="25" t="str">
        <f t="shared" si="1"/>
        <v>1/2026</v>
      </c>
      <c r="B430" s="25">
        <v>46052.389777847224</v>
      </c>
      <c r="C430" s="21" t="s">
        <v>226</v>
      </c>
      <c r="D430" s="21" t="s">
        <v>1629</v>
      </c>
      <c r="E430" s="26" t="s">
        <v>1770</v>
      </c>
      <c r="F430" s="21" t="s">
        <v>18</v>
      </c>
      <c r="G430" s="21" t="s">
        <v>1771</v>
      </c>
      <c r="H430" s="21" t="s">
        <v>36</v>
      </c>
      <c r="I430" s="21" t="s">
        <v>1772</v>
      </c>
      <c r="J430" s="21" t="s">
        <v>366</v>
      </c>
      <c r="K430" s="21">
        <v>1.19824092800004E14</v>
      </c>
      <c r="L430" s="27"/>
      <c r="M430" s="15"/>
      <c r="N430" s="24">
        <v>120000.0</v>
      </c>
      <c r="O430" s="16"/>
    </row>
    <row r="431" ht="22.5" customHeight="1">
      <c r="A431" s="25" t="str">
        <f t="shared" si="1"/>
        <v>1/2026</v>
      </c>
      <c r="B431" s="25">
        <v>46052.3925870949</v>
      </c>
      <c r="C431" s="21" t="s">
        <v>226</v>
      </c>
      <c r="D431" s="21" t="s">
        <v>1773</v>
      </c>
      <c r="E431" s="26" t="s">
        <v>1774</v>
      </c>
      <c r="F431" s="21" t="s">
        <v>18</v>
      </c>
      <c r="G431" s="21" t="s">
        <v>1775</v>
      </c>
      <c r="H431" s="21" t="s">
        <v>36</v>
      </c>
      <c r="I431" s="21" t="s">
        <v>1776</v>
      </c>
      <c r="J431" s="21" t="s">
        <v>1136</v>
      </c>
      <c r="K431" s="21">
        <v>1.39822102000019E14</v>
      </c>
      <c r="L431" s="27"/>
      <c r="M431" s="15"/>
      <c r="N431" s="24">
        <v>120000.0</v>
      </c>
      <c r="O431" s="16"/>
    </row>
    <row r="432" ht="22.5" customHeight="1">
      <c r="A432" s="25" t="str">
        <f t="shared" si="1"/>
        <v>1/2026</v>
      </c>
      <c r="B432" s="25">
        <v>46052.493088773146</v>
      </c>
      <c r="C432" s="21" t="s">
        <v>103</v>
      </c>
      <c r="D432" s="21" t="s">
        <v>515</v>
      </c>
      <c r="E432" s="26" t="s">
        <v>1777</v>
      </c>
      <c r="F432" s="21" t="s">
        <v>106</v>
      </c>
      <c r="G432" s="21" t="s">
        <v>1778</v>
      </c>
      <c r="H432" s="21" t="s">
        <v>44</v>
      </c>
      <c r="I432" s="21" t="s">
        <v>1779</v>
      </c>
      <c r="J432" s="21" t="s">
        <v>1780</v>
      </c>
      <c r="K432" s="21">
        <v>1.85825082200061E14</v>
      </c>
      <c r="L432" s="27"/>
      <c r="M432" s="15"/>
      <c r="N432" s="24">
        <v>200000.0</v>
      </c>
      <c r="O432" s="16"/>
    </row>
    <row r="433" ht="22.5" customHeight="1">
      <c r="A433" s="25" t="str">
        <f t="shared" si="1"/>
        <v>1/2026</v>
      </c>
      <c r="B433" s="25">
        <v>46052.561318796295</v>
      </c>
      <c r="C433" s="21" t="s">
        <v>300</v>
      </c>
      <c r="D433" s="21" t="s">
        <v>1781</v>
      </c>
      <c r="E433" s="26" t="s">
        <v>1782</v>
      </c>
      <c r="F433" s="21" t="s">
        <v>303</v>
      </c>
      <c r="G433" s="21" t="s">
        <v>1415</v>
      </c>
      <c r="H433" s="21" t="s">
        <v>20</v>
      </c>
      <c r="I433" s="21" t="s">
        <v>1783</v>
      </c>
      <c r="J433" s="21" t="s">
        <v>1528</v>
      </c>
      <c r="K433" s="21">
        <v>1.83825082100016E14</v>
      </c>
      <c r="L433" s="27"/>
      <c r="M433" s="15"/>
      <c r="N433" s="24">
        <v>0.0</v>
      </c>
      <c r="O433" s="16"/>
    </row>
    <row r="434" ht="22.5" customHeight="1">
      <c r="A434" s="25" t="str">
        <f t="shared" si="1"/>
        <v>1/2026</v>
      </c>
      <c r="B434" s="25">
        <v>46052.568152858796</v>
      </c>
      <c r="C434" s="21" t="s">
        <v>300</v>
      </c>
      <c r="D434" s="21" t="s">
        <v>1784</v>
      </c>
      <c r="E434" s="26" t="s">
        <v>1785</v>
      </c>
      <c r="F434" s="21" t="s">
        <v>303</v>
      </c>
      <c r="G434" s="21" t="s">
        <v>217</v>
      </c>
      <c r="H434" s="21" t="s">
        <v>20</v>
      </c>
      <c r="I434" s="21" t="s">
        <v>1786</v>
      </c>
      <c r="J434" s="21" t="s">
        <v>1528</v>
      </c>
      <c r="K434" s="21">
        <v>1.15825082200112E14</v>
      </c>
      <c r="L434" s="27"/>
      <c r="M434" s="15"/>
      <c r="N434" s="24">
        <v>230000.0</v>
      </c>
      <c r="O434" s="16"/>
    </row>
    <row r="435" ht="22.5" customHeight="1">
      <c r="A435" s="25" t="str">
        <f t="shared" si="1"/>
        <v>1/2026</v>
      </c>
      <c r="B435" s="25">
        <v>46052.668456053245</v>
      </c>
      <c r="C435" s="21" t="s">
        <v>169</v>
      </c>
      <c r="D435" s="21" t="s">
        <v>1787</v>
      </c>
      <c r="E435" s="26" t="s">
        <v>546</v>
      </c>
      <c r="F435" s="21" t="s">
        <v>404</v>
      </c>
      <c r="G435" s="21" t="s">
        <v>879</v>
      </c>
      <c r="H435" s="21" t="s">
        <v>20</v>
      </c>
      <c r="I435" s="30" t="s">
        <v>1788</v>
      </c>
      <c r="J435" s="21" t="s">
        <v>1789</v>
      </c>
      <c r="K435" s="21">
        <v>1.84825082100185E14</v>
      </c>
      <c r="L435" s="27"/>
      <c r="M435" s="15"/>
      <c r="N435" s="24">
        <v>300000.0</v>
      </c>
      <c r="O435" s="16"/>
    </row>
    <row r="436" ht="22.5" customHeight="1">
      <c r="A436" s="25" t="str">
        <f t="shared" si="1"/>
        <v>1/2026</v>
      </c>
      <c r="B436" s="25">
        <v>46052.74244717593</v>
      </c>
      <c r="C436" s="21" t="s">
        <v>710</v>
      </c>
      <c r="D436" s="21" t="s">
        <v>1790</v>
      </c>
      <c r="E436" s="26" t="s">
        <v>1791</v>
      </c>
      <c r="F436" s="21" t="s">
        <v>713</v>
      </c>
      <c r="G436" s="21" t="s">
        <v>609</v>
      </c>
      <c r="H436" s="21" t="s">
        <v>20</v>
      </c>
      <c r="I436" s="21" t="s">
        <v>1792</v>
      </c>
      <c r="J436" s="21" t="s">
        <v>1793</v>
      </c>
      <c r="K436" s="21">
        <v>1.85825082200015E14</v>
      </c>
      <c r="L436" s="27"/>
      <c r="M436" s="15"/>
      <c r="N436" s="24">
        <v>230000.0</v>
      </c>
      <c r="O436" s="16">
        <f>40*3000</f>
        <v>120000</v>
      </c>
    </row>
    <row r="437" ht="22.5" customHeight="1">
      <c r="A437" s="25" t="str">
        <f t="shared" si="1"/>
        <v>1/2026</v>
      </c>
      <c r="B437" s="25">
        <v>46052.80717642361</v>
      </c>
      <c r="C437" s="21" t="s">
        <v>115</v>
      </c>
      <c r="D437" s="21" t="s">
        <v>1794</v>
      </c>
      <c r="E437" s="26" t="s">
        <v>1795</v>
      </c>
      <c r="F437" s="21" t="s">
        <v>118</v>
      </c>
      <c r="G437" s="21" t="s">
        <v>1425</v>
      </c>
      <c r="H437" s="21" t="s">
        <v>20</v>
      </c>
      <c r="I437" s="21" t="s">
        <v>1796</v>
      </c>
      <c r="J437" s="21" t="s">
        <v>1797</v>
      </c>
      <c r="K437" s="21">
        <v>1.85825082200137E14</v>
      </c>
      <c r="L437" s="27"/>
      <c r="M437" s="15"/>
      <c r="N437" s="24">
        <v>200000.0</v>
      </c>
      <c r="O437" s="16"/>
    </row>
    <row r="438" ht="22.5" customHeight="1">
      <c r="A438" s="25" t="str">
        <f t="shared" si="1"/>
        <v>1/2026</v>
      </c>
      <c r="B438" s="25">
        <v>46053.6166028588</v>
      </c>
      <c r="C438" s="21" t="s">
        <v>103</v>
      </c>
      <c r="D438" s="21" t="s">
        <v>1798</v>
      </c>
      <c r="E438" s="26" t="s">
        <v>1799</v>
      </c>
      <c r="F438" s="21" t="s">
        <v>106</v>
      </c>
      <c r="G438" s="21" t="s">
        <v>1800</v>
      </c>
      <c r="H438" s="21" t="s">
        <v>20</v>
      </c>
      <c r="I438" s="21" t="s">
        <v>1801</v>
      </c>
      <c r="J438" s="21" t="s">
        <v>1802</v>
      </c>
      <c r="K438" s="21">
        <v>1.85825082200108E14</v>
      </c>
      <c r="L438" s="27"/>
      <c r="M438" s="15"/>
      <c r="N438" s="24">
        <v>200000.0</v>
      </c>
      <c r="O438" s="16"/>
    </row>
    <row r="439" ht="22.5" customHeight="1">
      <c r="A439" s="25" t="str">
        <f t="shared" si="1"/>
        <v>1/2026</v>
      </c>
      <c r="B439" s="25">
        <v>46053.65498216436</v>
      </c>
      <c r="C439" s="21" t="s">
        <v>308</v>
      </c>
      <c r="D439" s="21" t="s">
        <v>1803</v>
      </c>
      <c r="E439" s="26" t="s">
        <v>1804</v>
      </c>
      <c r="F439" s="21" t="s">
        <v>106</v>
      </c>
      <c r="G439" s="21" t="s">
        <v>1415</v>
      </c>
      <c r="H439" s="21" t="s">
        <v>36</v>
      </c>
      <c r="I439" s="21" t="s">
        <v>1805</v>
      </c>
      <c r="J439" s="21" t="s">
        <v>1806</v>
      </c>
      <c r="K439" s="21">
        <v>1.39824091100292E14</v>
      </c>
      <c r="L439" s="27"/>
      <c r="M439" s="15"/>
      <c r="N439" s="24">
        <v>0.0</v>
      </c>
      <c r="O439" s="16"/>
    </row>
    <row r="440" ht="22.5" customHeight="1">
      <c r="A440" s="25" t="str">
        <f t="shared" si="1"/>
        <v>1/2026</v>
      </c>
      <c r="B440" s="25">
        <v>46053.76128097222</v>
      </c>
      <c r="C440" s="21" t="s">
        <v>1181</v>
      </c>
      <c r="D440" s="21" t="s">
        <v>1807</v>
      </c>
      <c r="E440" s="21" t="s">
        <v>1221</v>
      </c>
      <c r="F440" s="21" t="s">
        <v>18</v>
      </c>
      <c r="G440" s="21" t="s">
        <v>1505</v>
      </c>
      <c r="H440" s="21" t="s">
        <v>141</v>
      </c>
      <c r="I440" s="29" t="s">
        <v>1808</v>
      </c>
      <c r="J440" s="21" t="s">
        <v>1809</v>
      </c>
      <c r="K440" s="21" t="s">
        <v>1221</v>
      </c>
      <c r="L440" s="27"/>
      <c r="M440" s="15"/>
      <c r="N440" s="24">
        <v>50000.0</v>
      </c>
      <c r="O440" s="16"/>
    </row>
    <row r="441" ht="22.5" customHeight="1">
      <c r="A441" s="25" t="str">
        <f t="shared" si="1"/>
        <v>2/2026</v>
      </c>
      <c r="B441" s="25">
        <v>46054.41268596065</v>
      </c>
      <c r="C441" s="21" t="s">
        <v>32</v>
      </c>
      <c r="D441" s="21" t="s">
        <v>1810</v>
      </c>
      <c r="E441" s="21" t="s">
        <v>1811</v>
      </c>
      <c r="F441" s="21" t="s">
        <v>18</v>
      </c>
      <c r="G441" s="21" t="s">
        <v>487</v>
      </c>
      <c r="H441" s="21" t="s">
        <v>36</v>
      </c>
      <c r="I441" s="21" t="s">
        <v>1812</v>
      </c>
      <c r="J441" s="21" t="s">
        <v>97</v>
      </c>
      <c r="K441" s="21">
        <v>8.92823021300152E14</v>
      </c>
      <c r="L441" s="27"/>
      <c r="M441" s="15"/>
      <c r="N441" s="16"/>
      <c r="O441" s="16"/>
    </row>
    <row r="442" ht="22.5" customHeight="1">
      <c r="A442" s="25" t="str">
        <f t="shared" si="1"/>
        <v>2/2026</v>
      </c>
      <c r="B442" s="25">
        <v>46054.41620619213</v>
      </c>
      <c r="C442" s="21" t="s">
        <v>32</v>
      </c>
      <c r="D442" s="21" t="s">
        <v>189</v>
      </c>
      <c r="E442" s="21" t="s">
        <v>1813</v>
      </c>
      <c r="F442" s="21" t="s">
        <v>18</v>
      </c>
      <c r="G442" s="21" t="s">
        <v>487</v>
      </c>
      <c r="H442" s="21" t="s">
        <v>36</v>
      </c>
      <c r="I442" s="21" t="s">
        <v>1814</v>
      </c>
      <c r="J442" s="21" t="s">
        <v>97</v>
      </c>
      <c r="K442" s="21">
        <v>8.92821042900587E14</v>
      </c>
      <c r="L442" s="27"/>
      <c r="M442" s="15"/>
      <c r="N442" s="16"/>
      <c r="O442" s="16"/>
    </row>
    <row r="443" ht="22.5" customHeight="1">
      <c r="A443" s="25" t="str">
        <f t="shared" si="1"/>
        <v>2/2026</v>
      </c>
      <c r="B443" s="25">
        <v>46054.48901908565</v>
      </c>
      <c r="C443" s="21" t="s">
        <v>618</v>
      </c>
      <c r="D443" s="21" t="s">
        <v>1815</v>
      </c>
      <c r="E443" s="26" t="s">
        <v>1816</v>
      </c>
      <c r="F443" s="21" t="s">
        <v>118</v>
      </c>
      <c r="G443" s="21" t="s">
        <v>1817</v>
      </c>
      <c r="H443" s="21" t="s">
        <v>36</v>
      </c>
      <c r="I443" s="21" t="s">
        <v>1818</v>
      </c>
      <c r="J443" s="21" t="s">
        <v>1819</v>
      </c>
      <c r="K443" s="21">
        <v>1.19824062700129E14</v>
      </c>
      <c r="L443" s="27"/>
      <c r="M443" s="15"/>
      <c r="N443" s="16"/>
      <c r="O443" s="16"/>
    </row>
    <row r="444" ht="22.5" customHeight="1">
      <c r="A444" s="25" t="str">
        <f t="shared" si="1"/>
        <v>2/2026</v>
      </c>
      <c r="B444" s="25">
        <v>46054.77546159722</v>
      </c>
      <c r="C444" s="21" t="s">
        <v>115</v>
      </c>
      <c r="D444" s="21" t="s">
        <v>1586</v>
      </c>
      <c r="E444" s="26" t="s">
        <v>1820</v>
      </c>
      <c r="F444" s="21" t="s">
        <v>118</v>
      </c>
      <c r="G444" s="21" t="s">
        <v>1287</v>
      </c>
      <c r="H444" s="21" t="s">
        <v>141</v>
      </c>
      <c r="I444" s="21" t="s">
        <v>1821</v>
      </c>
      <c r="J444" s="21" t="s">
        <v>965</v>
      </c>
      <c r="K444" s="21" t="s">
        <v>122</v>
      </c>
      <c r="L444" s="27"/>
      <c r="M444" s="15"/>
      <c r="N444" s="16"/>
      <c r="O444" s="16"/>
    </row>
    <row r="445" ht="22.5" customHeight="1">
      <c r="A445" s="25" t="str">
        <f t="shared" si="1"/>
        <v>2/2026</v>
      </c>
      <c r="B445" s="25">
        <v>46054.776539548606</v>
      </c>
      <c r="C445" s="21" t="s">
        <v>115</v>
      </c>
      <c r="D445" s="21" t="s">
        <v>1822</v>
      </c>
      <c r="E445" s="26" t="s">
        <v>1823</v>
      </c>
      <c r="F445" s="21" t="s">
        <v>118</v>
      </c>
      <c r="G445" s="21" t="s">
        <v>1124</v>
      </c>
      <c r="H445" s="21" t="s">
        <v>36</v>
      </c>
      <c r="I445" s="21" t="s">
        <v>1824</v>
      </c>
      <c r="J445" s="21" t="s">
        <v>965</v>
      </c>
      <c r="K445" s="21" t="s">
        <v>122</v>
      </c>
      <c r="L445" s="27"/>
      <c r="M445" s="15"/>
      <c r="N445" s="16"/>
      <c r="O445" s="16"/>
    </row>
    <row r="446" ht="22.5" customHeight="1">
      <c r="A446" s="25" t="str">
        <f t="shared" si="1"/>
        <v>2/2026</v>
      </c>
      <c r="B446" s="25">
        <v>46054.778096759255</v>
      </c>
      <c r="C446" s="21" t="s">
        <v>115</v>
      </c>
      <c r="D446" s="21" t="s">
        <v>1825</v>
      </c>
      <c r="E446" s="26" t="s">
        <v>1826</v>
      </c>
      <c r="F446" s="21" t="s">
        <v>458</v>
      </c>
      <c r="G446" s="21" t="s">
        <v>784</v>
      </c>
      <c r="H446" s="21" t="s">
        <v>141</v>
      </c>
      <c r="I446" s="21" t="s">
        <v>1827</v>
      </c>
      <c r="J446" s="21" t="s">
        <v>1273</v>
      </c>
      <c r="K446" s="21" t="s">
        <v>122</v>
      </c>
      <c r="L446" s="27"/>
      <c r="M446" s="15"/>
      <c r="N446" s="16"/>
      <c r="O446" s="16"/>
    </row>
    <row r="447" ht="22.5" customHeight="1">
      <c r="A447" s="25" t="str">
        <f t="shared" si="1"/>
        <v>2/2026</v>
      </c>
      <c r="B447" s="25">
        <v>46054.7795443287</v>
      </c>
      <c r="C447" s="21" t="s">
        <v>115</v>
      </c>
      <c r="D447" s="21" t="s">
        <v>1828</v>
      </c>
      <c r="E447" s="26" t="s">
        <v>1829</v>
      </c>
      <c r="F447" s="21" t="s">
        <v>1830</v>
      </c>
      <c r="G447" s="21" t="s">
        <v>178</v>
      </c>
      <c r="H447" s="21" t="s">
        <v>141</v>
      </c>
      <c r="I447" s="21" t="s">
        <v>1831</v>
      </c>
      <c r="J447" s="21" t="s">
        <v>1273</v>
      </c>
      <c r="K447" s="21" t="s">
        <v>122</v>
      </c>
      <c r="L447" s="27"/>
      <c r="M447" s="15"/>
      <c r="N447" s="16"/>
      <c r="O447" s="16"/>
    </row>
    <row r="448" ht="22.5" customHeight="1">
      <c r="A448" s="25" t="str">
        <f t="shared" si="1"/>
        <v>2/2026</v>
      </c>
      <c r="B448" s="25">
        <v>46054.80639113426</v>
      </c>
      <c r="C448" s="21" t="s">
        <v>226</v>
      </c>
      <c r="D448" s="21" t="s">
        <v>1832</v>
      </c>
      <c r="E448" s="26" t="s">
        <v>1833</v>
      </c>
      <c r="F448" s="21" t="s">
        <v>18</v>
      </c>
      <c r="G448" s="21" t="s">
        <v>1429</v>
      </c>
      <c r="H448" s="21" t="s">
        <v>36</v>
      </c>
      <c r="I448" s="21" t="s">
        <v>1834</v>
      </c>
      <c r="J448" s="21" t="s">
        <v>366</v>
      </c>
      <c r="K448" s="21">
        <v>1.19824062700072E14</v>
      </c>
      <c r="L448" s="27"/>
      <c r="M448" s="15"/>
      <c r="N448" s="16"/>
      <c r="O448" s="16"/>
    </row>
    <row r="449" ht="22.5" customHeight="1">
      <c r="A449" s="25" t="str">
        <f t="shared" si="1"/>
        <v>2/2026</v>
      </c>
      <c r="B449" s="25">
        <v>46054.894189224535</v>
      </c>
      <c r="C449" s="21" t="s">
        <v>226</v>
      </c>
      <c r="D449" s="21" t="s">
        <v>1835</v>
      </c>
      <c r="E449" s="26" t="s">
        <v>1836</v>
      </c>
      <c r="F449" s="21" t="s">
        <v>18</v>
      </c>
      <c r="G449" s="21" t="s">
        <v>1429</v>
      </c>
      <c r="H449" s="21" t="s">
        <v>36</v>
      </c>
      <c r="I449" s="30" t="s">
        <v>1837</v>
      </c>
      <c r="J449" s="21" t="s">
        <v>1838</v>
      </c>
      <c r="K449" s="21">
        <v>1.19821040600586E14</v>
      </c>
      <c r="L449" s="27"/>
      <c r="M449" s="15"/>
      <c r="N449" s="16"/>
      <c r="O449" s="16"/>
    </row>
    <row r="450" ht="22.5" customHeight="1">
      <c r="A450" s="32" t="str">
        <f t="shared" si="1"/>
        <v>2/2026</v>
      </c>
      <c r="B450" s="25">
        <v>46055.57585425926</v>
      </c>
      <c r="C450" s="21" t="s">
        <v>226</v>
      </c>
      <c r="D450" s="21" t="s">
        <v>1839</v>
      </c>
      <c r="E450" s="26" t="s">
        <v>1840</v>
      </c>
      <c r="F450" s="21" t="s">
        <v>18</v>
      </c>
      <c r="G450" s="21" t="s">
        <v>1841</v>
      </c>
      <c r="H450" s="21" t="s">
        <v>20</v>
      </c>
      <c r="I450" s="21" t="s">
        <v>1842</v>
      </c>
      <c r="J450" s="21" t="s">
        <v>1136</v>
      </c>
      <c r="K450" s="21">
        <v>1.84825082100023E14</v>
      </c>
      <c r="L450" s="27"/>
      <c r="N450" s="24">
        <v>200000.0</v>
      </c>
    </row>
    <row r="451" ht="22.5" customHeight="1">
      <c r="A451" s="32" t="str">
        <f t="shared" si="1"/>
        <v>2/2026</v>
      </c>
      <c r="B451" s="25">
        <v>46055.75717258102</v>
      </c>
      <c r="C451" s="21" t="s">
        <v>618</v>
      </c>
      <c r="D451" s="21" t="s">
        <v>1843</v>
      </c>
      <c r="E451" s="26" t="s">
        <v>1844</v>
      </c>
      <c r="F451" s="21" t="s">
        <v>118</v>
      </c>
      <c r="G451" s="21" t="s">
        <v>854</v>
      </c>
      <c r="H451" s="21" t="s">
        <v>44</v>
      </c>
      <c r="I451" s="21" t="s">
        <v>1845</v>
      </c>
      <c r="J451" s="21" t="s">
        <v>1846</v>
      </c>
      <c r="K451" s="21">
        <v>1.85825082200071E14</v>
      </c>
      <c r="L451" s="27"/>
    </row>
    <row r="452" ht="22.5" customHeight="1">
      <c r="A452" s="32" t="str">
        <f t="shared" si="1"/>
        <v>2/2026</v>
      </c>
      <c r="B452" s="25">
        <v>46056.35415082176</v>
      </c>
      <c r="C452" s="21" t="s">
        <v>226</v>
      </c>
      <c r="D452" s="21" t="s">
        <v>1847</v>
      </c>
      <c r="E452" s="26" t="s">
        <v>1848</v>
      </c>
      <c r="F452" s="21" t="s">
        <v>18</v>
      </c>
      <c r="G452" s="21" t="s">
        <v>1429</v>
      </c>
      <c r="H452" s="21" t="s">
        <v>36</v>
      </c>
      <c r="I452" s="21" t="s">
        <v>1849</v>
      </c>
      <c r="J452" s="21" t="s">
        <v>1136</v>
      </c>
      <c r="K452" s="21">
        <v>1.19823112300083E14</v>
      </c>
      <c r="L452" s="27"/>
    </row>
    <row r="453" ht="22.5" customHeight="1">
      <c r="A453" s="32" t="str">
        <f t="shared" si="1"/>
        <v>2/2026</v>
      </c>
      <c r="B453" s="25">
        <v>46056.48908452546</v>
      </c>
      <c r="C453" s="21" t="s">
        <v>115</v>
      </c>
      <c r="D453" s="21" t="s">
        <v>946</v>
      </c>
      <c r="E453" s="26" t="s">
        <v>1850</v>
      </c>
      <c r="F453" s="21" t="s">
        <v>1830</v>
      </c>
      <c r="G453" s="21" t="s">
        <v>1124</v>
      </c>
      <c r="H453" s="21" t="s">
        <v>141</v>
      </c>
      <c r="I453" s="21" t="s">
        <v>1851</v>
      </c>
      <c r="J453" s="21" t="s">
        <v>1273</v>
      </c>
      <c r="K453" s="21" t="s">
        <v>122</v>
      </c>
      <c r="L453" s="27"/>
    </row>
    <row r="454" ht="22.5" customHeight="1">
      <c r="A454" s="32" t="str">
        <f t="shared" si="1"/>
        <v>2/2026</v>
      </c>
      <c r="B454" s="25">
        <v>46056.49061104166</v>
      </c>
      <c r="C454" s="21" t="s">
        <v>115</v>
      </c>
      <c r="D454" s="21" t="s">
        <v>1852</v>
      </c>
      <c r="E454" s="26" t="s">
        <v>1853</v>
      </c>
      <c r="F454" s="21" t="s">
        <v>118</v>
      </c>
      <c r="G454" s="21" t="s">
        <v>948</v>
      </c>
      <c r="H454" s="21" t="s">
        <v>141</v>
      </c>
      <c r="I454" s="21" t="s">
        <v>1854</v>
      </c>
      <c r="J454" s="21" t="s">
        <v>1855</v>
      </c>
      <c r="K454" s="21" t="s">
        <v>122</v>
      </c>
      <c r="L454" s="27"/>
    </row>
    <row r="455" ht="22.5" customHeight="1">
      <c r="A455" s="32" t="str">
        <f t="shared" si="1"/>
        <v>2/2026</v>
      </c>
      <c r="B455" s="25">
        <v>46056.49238111111</v>
      </c>
      <c r="C455" s="21" t="s">
        <v>115</v>
      </c>
      <c r="D455" s="21" t="s">
        <v>1856</v>
      </c>
      <c r="E455" s="26" t="s">
        <v>1749</v>
      </c>
      <c r="F455" s="21" t="s">
        <v>42</v>
      </c>
      <c r="G455" s="21" t="s">
        <v>948</v>
      </c>
      <c r="H455" s="21" t="s">
        <v>141</v>
      </c>
      <c r="I455" s="21" t="s">
        <v>1857</v>
      </c>
      <c r="J455" s="21" t="s">
        <v>1858</v>
      </c>
      <c r="K455" s="21" t="s">
        <v>122</v>
      </c>
      <c r="L455" s="27"/>
    </row>
    <row r="456" ht="22.5" customHeight="1">
      <c r="A456" s="32" t="str">
        <f t="shared" si="1"/>
        <v>2/2026</v>
      </c>
      <c r="B456" s="25">
        <v>46056.49423015046</v>
      </c>
      <c r="C456" s="21" t="s">
        <v>115</v>
      </c>
      <c r="D456" s="21" t="s">
        <v>1129</v>
      </c>
      <c r="E456" s="26" t="s">
        <v>1130</v>
      </c>
      <c r="F456" s="21" t="s">
        <v>118</v>
      </c>
      <c r="G456" s="21" t="s">
        <v>1859</v>
      </c>
      <c r="H456" s="21" t="s">
        <v>141</v>
      </c>
      <c r="I456" s="21" t="s">
        <v>1860</v>
      </c>
      <c r="J456" s="21" t="s">
        <v>1861</v>
      </c>
      <c r="K456" s="21" t="s">
        <v>122</v>
      </c>
      <c r="L456" s="27"/>
    </row>
    <row r="457" ht="22.5" customHeight="1">
      <c r="A457" s="32" t="str">
        <f t="shared" si="1"/>
        <v>2/2026</v>
      </c>
      <c r="B457" s="25">
        <v>46056.579596180556</v>
      </c>
      <c r="C457" s="21" t="s">
        <v>408</v>
      </c>
      <c r="D457" s="21" t="s">
        <v>1862</v>
      </c>
      <c r="E457" s="26" t="s">
        <v>1863</v>
      </c>
      <c r="F457" s="21" t="s">
        <v>118</v>
      </c>
      <c r="G457" s="21" t="s">
        <v>217</v>
      </c>
      <c r="H457" s="21" t="s">
        <v>20</v>
      </c>
      <c r="I457" s="21" t="s">
        <v>1864</v>
      </c>
      <c r="J457" s="21" t="s">
        <v>1865</v>
      </c>
      <c r="K457" s="21">
        <v>1.85825082200008E14</v>
      </c>
      <c r="L457" s="27"/>
    </row>
    <row r="458" ht="22.5" customHeight="1">
      <c r="A458" s="32" t="str">
        <f t="shared" si="1"/>
        <v>2/2026</v>
      </c>
      <c r="B458" s="25">
        <v>46056.82799236111</v>
      </c>
      <c r="C458" s="21" t="s">
        <v>115</v>
      </c>
      <c r="D458" s="21" t="s">
        <v>1866</v>
      </c>
      <c r="E458" s="26" t="s">
        <v>1130</v>
      </c>
      <c r="F458" s="21" t="s">
        <v>118</v>
      </c>
      <c r="G458" s="21" t="s">
        <v>1867</v>
      </c>
      <c r="H458" s="21" t="s">
        <v>141</v>
      </c>
      <c r="I458" s="21" t="s">
        <v>1868</v>
      </c>
      <c r="J458" s="21" t="s">
        <v>1869</v>
      </c>
      <c r="K458" s="21" t="s">
        <v>122</v>
      </c>
      <c r="L458" s="27"/>
    </row>
    <row r="459" ht="22.5" customHeight="1">
      <c r="A459" s="32" t="str">
        <f t="shared" si="1"/>
        <v>2/2026</v>
      </c>
      <c r="B459" s="25">
        <v>46056.901816087964</v>
      </c>
      <c r="C459" s="21" t="s">
        <v>39</v>
      </c>
      <c r="D459" s="21" t="s">
        <v>1870</v>
      </c>
      <c r="E459" s="26" t="s">
        <v>1871</v>
      </c>
      <c r="F459" s="21" t="s">
        <v>42</v>
      </c>
      <c r="G459" s="21" t="s">
        <v>1872</v>
      </c>
      <c r="H459" s="21" t="s">
        <v>36</v>
      </c>
      <c r="I459" s="21" t="s">
        <v>1873</v>
      </c>
      <c r="J459" s="21" t="s">
        <v>1874</v>
      </c>
      <c r="K459" s="21">
        <v>8.92824061500184E14</v>
      </c>
      <c r="L459" s="27"/>
    </row>
    <row r="460" ht="22.5" customHeight="1">
      <c r="A460" s="32" t="str">
        <f t="shared" si="1"/>
        <v>2/2026</v>
      </c>
      <c r="B460" s="25">
        <v>46057.544504606485</v>
      </c>
      <c r="C460" s="21" t="s">
        <v>56</v>
      </c>
      <c r="D460" s="21" t="s">
        <v>1875</v>
      </c>
      <c r="E460" s="26" t="s">
        <v>1876</v>
      </c>
      <c r="F460" s="21" t="s">
        <v>18</v>
      </c>
      <c r="G460" s="21" t="s">
        <v>49</v>
      </c>
      <c r="H460" s="21" t="s">
        <v>20</v>
      </c>
      <c r="I460" s="21" t="s">
        <v>1877</v>
      </c>
      <c r="J460" s="21" t="s">
        <v>55</v>
      </c>
      <c r="K460" s="21">
        <v>1.84825082100108E14</v>
      </c>
      <c r="L460" s="27"/>
    </row>
    <row r="461" ht="22.5" customHeight="1">
      <c r="A461" s="32" t="str">
        <f t="shared" si="1"/>
        <v>2/2026</v>
      </c>
      <c r="B461" s="25">
        <v>46057.660953136576</v>
      </c>
      <c r="C461" s="21" t="s">
        <v>123</v>
      </c>
      <c r="D461" s="21" t="s">
        <v>1878</v>
      </c>
      <c r="E461" s="21" t="s">
        <v>1879</v>
      </c>
      <c r="F461" s="21" t="s">
        <v>18</v>
      </c>
      <c r="G461" s="21" t="s">
        <v>19</v>
      </c>
      <c r="H461" s="21" t="s">
        <v>20</v>
      </c>
      <c r="I461" s="21" t="s">
        <v>1880</v>
      </c>
      <c r="J461" s="21" t="s">
        <v>238</v>
      </c>
      <c r="K461" s="21">
        <v>1.85825082200042E14</v>
      </c>
      <c r="L461" s="27"/>
    </row>
    <row r="462" ht="22.5" customHeight="1">
      <c r="A462" s="32" t="str">
        <f t="shared" si="1"/>
        <v>2/2026</v>
      </c>
      <c r="B462" s="25">
        <v>46057.787893298606</v>
      </c>
      <c r="C462" s="21" t="s">
        <v>123</v>
      </c>
      <c r="D462" s="21" t="s">
        <v>1881</v>
      </c>
      <c r="E462" s="21" t="s">
        <v>1882</v>
      </c>
      <c r="F462" s="21" t="s">
        <v>18</v>
      </c>
      <c r="G462" s="21" t="s">
        <v>259</v>
      </c>
      <c r="H462" s="21" t="s">
        <v>36</v>
      </c>
      <c r="I462" s="21" t="s">
        <v>1883</v>
      </c>
      <c r="J462" s="21" t="s">
        <v>1884</v>
      </c>
      <c r="K462" s="21">
        <v>1.39823072500157E14</v>
      </c>
      <c r="L462" s="27"/>
    </row>
    <row r="463" ht="22.5" customHeight="1">
      <c r="A463" s="32" t="str">
        <f t="shared" si="1"/>
        <v>2/2026</v>
      </c>
      <c r="B463" s="25">
        <v>46057.81233634259</v>
      </c>
      <c r="C463" s="21" t="s">
        <v>300</v>
      </c>
      <c r="D463" s="21" t="s">
        <v>1885</v>
      </c>
      <c r="E463" s="26" t="s">
        <v>1886</v>
      </c>
      <c r="F463" s="21" t="s">
        <v>1887</v>
      </c>
      <c r="G463" s="21" t="s">
        <v>1888</v>
      </c>
      <c r="H463" s="21" t="s">
        <v>141</v>
      </c>
      <c r="I463" s="31" t="s">
        <v>1889</v>
      </c>
      <c r="J463" s="33">
        <v>150000.0</v>
      </c>
      <c r="K463" s="21" t="s">
        <v>122</v>
      </c>
      <c r="L463" s="27"/>
    </row>
    <row r="464" ht="22.5" customHeight="1">
      <c r="A464" s="32" t="str">
        <f t="shared" si="1"/>
        <v>2/2026</v>
      </c>
      <c r="B464" s="25">
        <v>46057.84175763889</v>
      </c>
      <c r="C464" s="21" t="s">
        <v>1890</v>
      </c>
      <c r="D464" s="21" t="s">
        <v>1279</v>
      </c>
      <c r="E464" s="26" t="s">
        <v>1891</v>
      </c>
      <c r="F464" s="21" t="s">
        <v>1892</v>
      </c>
      <c r="G464" s="21" t="s">
        <v>621</v>
      </c>
      <c r="H464" s="21" t="s">
        <v>44</v>
      </c>
      <c r="I464" s="21" t="s">
        <v>1893</v>
      </c>
      <c r="J464" s="21" t="s">
        <v>1894</v>
      </c>
      <c r="K464" s="21">
        <v>1.86825082100033E14</v>
      </c>
      <c r="L464" s="27"/>
    </row>
    <row r="465" ht="22.5" customHeight="1">
      <c r="A465" s="32" t="str">
        <f t="shared" si="1"/>
        <v>2/2026</v>
      </c>
      <c r="B465" s="25">
        <v>46058.55078138888</v>
      </c>
      <c r="C465" s="21" t="s">
        <v>103</v>
      </c>
      <c r="D465" s="21" t="s">
        <v>1895</v>
      </c>
      <c r="E465" s="26" t="s">
        <v>1896</v>
      </c>
      <c r="F465" s="21" t="s">
        <v>106</v>
      </c>
      <c r="G465" s="21" t="s">
        <v>948</v>
      </c>
      <c r="H465" s="21" t="s">
        <v>20</v>
      </c>
      <c r="I465" s="21" t="s">
        <v>1897</v>
      </c>
      <c r="J465" s="21" t="s">
        <v>1898</v>
      </c>
      <c r="K465" s="21">
        <v>1.85825082200099E14</v>
      </c>
      <c r="L465" s="27"/>
    </row>
    <row r="466" ht="22.5" customHeight="1">
      <c r="A466" s="32" t="str">
        <f t="shared" si="1"/>
        <v>2/2026</v>
      </c>
      <c r="B466" s="25">
        <v>46058.75856400463</v>
      </c>
      <c r="C466" s="21" t="s">
        <v>618</v>
      </c>
      <c r="D466" s="21" t="s">
        <v>1899</v>
      </c>
      <c r="E466" s="26" t="s">
        <v>1900</v>
      </c>
      <c r="F466" s="21" t="s">
        <v>118</v>
      </c>
      <c r="G466" s="21" t="s">
        <v>1901</v>
      </c>
      <c r="H466" s="21" t="s">
        <v>36</v>
      </c>
      <c r="I466" s="21" t="s">
        <v>1902</v>
      </c>
      <c r="J466" s="21" t="s">
        <v>1903</v>
      </c>
      <c r="K466" s="21">
        <v>1.39824092700029E14</v>
      </c>
      <c r="L466" s="27"/>
    </row>
    <row r="467" ht="22.5" customHeight="1">
      <c r="A467" s="32" t="str">
        <f t="shared" si="1"/>
        <v>2/2026</v>
      </c>
      <c r="B467" s="25">
        <v>46058.80796709491</v>
      </c>
      <c r="C467" s="21" t="s">
        <v>32</v>
      </c>
      <c r="D467" s="21" t="s">
        <v>1904</v>
      </c>
      <c r="E467" s="26" t="s">
        <v>1905</v>
      </c>
      <c r="F467" s="21" t="s">
        <v>18</v>
      </c>
      <c r="G467" s="21" t="s">
        <v>1906</v>
      </c>
      <c r="H467" s="21" t="s">
        <v>36</v>
      </c>
      <c r="I467" s="21" t="s">
        <v>1907</v>
      </c>
      <c r="J467" s="21" t="s">
        <v>199</v>
      </c>
      <c r="K467" s="21">
        <v>1.39822120800128E14</v>
      </c>
      <c r="L467" s="27"/>
    </row>
    <row r="468" ht="22.5" customHeight="1">
      <c r="A468" s="32" t="str">
        <f t="shared" si="1"/>
        <v>2/2026</v>
      </c>
      <c r="B468" s="25">
        <v>46058.83309706018</v>
      </c>
      <c r="C468" s="21" t="s">
        <v>15</v>
      </c>
      <c r="D468" s="21" t="s">
        <v>16</v>
      </c>
      <c r="E468" s="26" t="s">
        <v>17</v>
      </c>
      <c r="F468" s="21" t="s">
        <v>18</v>
      </c>
      <c r="G468" s="21" t="s">
        <v>609</v>
      </c>
      <c r="H468" s="21" t="s">
        <v>1678</v>
      </c>
      <c r="I468" s="21" t="s">
        <v>1908</v>
      </c>
      <c r="J468" s="21" t="s">
        <v>55</v>
      </c>
      <c r="K468" s="21">
        <v>1.85825082200144E14</v>
      </c>
      <c r="L468" s="27"/>
    </row>
    <row r="469" ht="22.5" customHeight="1">
      <c r="A469" s="32" t="str">
        <f t="shared" si="1"/>
        <v>2/2026</v>
      </c>
      <c r="B469" s="25">
        <v>46058.88865871528</v>
      </c>
      <c r="C469" s="21" t="s">
        <v>294</v>
      </c>
      <c r="D469" s="21" t="s">
        <v>1909</v>
      </c>
      <c r="E469" s="26" t="s">
        <v>296</v>
      </c>
      <c r="F469" s="21" t="s">
        <v>297</v>
      </c>
      <c r="G469" s="21" t="s">
        <v>1910</v>
      </c>
      <c r="H469" s="21" t="s">
        <v>36</v>
      </c>
      <c r="I469" s="21" t="s">
        <v>1911</v>
      </c>
      <c r="J469" s="21" t="s">
        <v>1912</v>
      </c>
      <c r="K469" s="21">
        <v>1.83825082100148E14</v>
      </c>
      <c r="L469" s="27"/>
    </row>
    <row r="470" ht="22.5" customHeight="1">
      <c r="A470" s="32" t="str">
        <f t="shared" si="1"/>
        <v>2/2026</v>
      </c>
      <c r="B470" s="25">
        <v>46059.33737974537</v>
      </c>
      <c r="C470" s="21" t="s">
        <v>408</v>
      </c>
      <c r="D470" s="21" t="s">
        <v>1913</v>
      </c>
      <c r="E470" s="26" t="s">
        <v>1914</v>
      </c>
      <c r="F470" s="21" t="s">
        <v>118</v>
      </c>
      <c r="G470" s="21" t="s">
        <v>734</v>
      </c>
      <c r="H470" s="21" t="s">
        <v>20</v>
      </c>
      <c r="I470" s="21" t="s">
        <v>1915</v>
      </c>
      <c r="J470" s="21" t="s">
        <v>1916</v>
      </c>
      <c r="K470" s="21">
        <v>1.85825082200022E14</v>
      </c>
      <c r="L470" s="27"/>
    </row>
    <row r="471" ht="22.5" customHeight="1">
      <c r="A471" s="32" t="str">
        <f t="shared" si="1"/>
        <v>2/2026</v>
      </c>
      <c r="B471" s="25">
        <v>46059.373232094906</v>
      </c>
      <c r="C471" s="21" t="s">
        <v>1181</v>
      </c>
      <c r="D471" s="21" t="s">
        <v>1917</v>
      </c>
      <c r="E471" s="21" t="s">
        <v>1221</v>
      </c>
      <c r="F471" s="21" t="s">
        <v>18</v>
      </c>
      <c r="G471" s="21" t="s">
        <v>1918</v>
      </c>
      <c r="H471" s="21" t="s">
        <v>141</v>
      </c>
      <c r="I471" s="29" t="s">
        <v>1919</v>
      </c>
      <c r="J471" s="21" t="s">
        <v>1920</v>
      </c>
      <c r="K471" s="21" t="s">
        <v>1221</v>
      </c>
      <c r="L471" s="27"/>
    </row>
    <row r="472" ht="22.5" customHeight="1">
      <c r="A472" s="32" t="str">
        <f t="shared" si="1"/>
        <v>2/2026</v>
      </c>
      <c r="B472" s="25">
        <v>46059.374257777774</v>
      </c>
      <c r="C472" s="21" t="s">
        <v>1181</v>
      </c>
      <c r="D472" s="21" t="s">
        <v>1221</v>
      </c>
      <c r="E472" s="21" t="s">
        <v>1727</v>
      </c>
      <c r="F472" s="21" t="s">
        <v>18</v>
      </c>
      <c r="G472" s="21" t="s">
        <v>1505</v>
      </c>
      <c r="H472" s="21" t="s">
        <v>141</v>
      </c>
      <c r="I472" s="29" t="s">
        <v>1921</v>
      </c>
      <c r="J472" s="21" t="s">
        <v>1922</v>
      </c>
      <c r="K472" s="21" t="s">
        <v>1221</v>
      </c>
      <c r="L472" s="27"/>
    </row>
    <row r="473" ht="22.5" customHeight="1">
      <c r="A473" s="32" t="str">
        <f t="shared" si="1"/>
        <v>2/2026</v>
      </c>
      <c r="B473" s="25">
        <v>46059.37520998843</v>
      </c>
      <c r="C473" s="21" t="s">
        <v>1181</v>
      </c>
      <c r="D473" s="21" t="s">
        <v>1727</v>
      </c>
      <c r="E473" s="21" t="s">
        <v>1221</v>
      </c>
      <c r="F473" s="21" t="s">
        <v>18</v>
      </c>
      <c r="G473" s="21" t="s">
        <v>1923</v>
      </c>
      <c r="H473" s="21" t="s">
        <v>141</v>
      </c>
      <c r="I473" s="29" t="s">
        <v>1924</v>
      </c>
      <c r="J473" s="21" t="s">
        <v>1925</v>
      </c>
      <c r="K473" s="21" t="s">
        <v>1727</v>
      </c>
      <c r="L473" s="27"/>
    </row>
    <row r="474" ht="22.5" customHeight="1">
      <c r="A474" s="32" t="str">
        <f t="shared" si="1"/>
        <v>2/2026</v>
      </c>
      <c r="B474" s="25">
        <v>46059.37713305556</v>
      </c>
      <c r="C474" s="21" t="s">
        <v>1181</v>
      </c>
      <c r="D474" s="21" t="s">
        <v>1926</v>
      </c>
      <c r="E474" s="21">
        <v>9.64866694E8</v>
      </c>
      <c r="F474" s="21" t="s">
        <v>18</v>
      </c>
      <c r="G474" s="21" t="s">
        <v>1505</v>
      </c>
      <c r="H474" s="21" t="s">
        <v>36</v>
      </c>
      <c r="I474" s="21" t="s">
        <v>1927</v>
      </c>
      <c r="J474" s="21" t="s">
        <v>1928</v>
      </c>
      <c r="K474" s="21" t="s">
        <v>1221</v>
      </c>
      <c r="L474" s="27"/>
    </row>
    <row r="475" ht="22.5" customHeight="1">
      <c r="A475" s="32" t="str">
        <f t="shared" si="1"/>
        <v>2/2026</v>
      </c>
      <c r="B475" s="25">
        <v>46059.41141717593</v>
      </c>
      <c r="C475" s="21" t="s">
        <v>226</v>
      </c>
      <c r="D475" s="21" t="s">
        <v>1929</v>
      </c>
      <c r="E475" s="26" t="s">
        <v>1930</v>
      </c>
      <c r="F475" s="21" t="s">
        <v>18</v>
      </c>
      <c r="G475" s="21" t="s">
        <v>1931</v>
      </c>
      <c r="H475" s="21" t="s">
        <v>20</v>
      </c>
      <c r="I475" s="21" t="s">
        <v>1932</v>
      </c>
      <c r="J475" s="21" t="s">
        <v>366</v>
      </c>
      <c r="K475" s="21">
        <v>1.83825082100066E14</v>
      </c>
      <c r="L475" s="27"/>
    </row>
    <row r="476" ht="22.5" customHeight="1">
      <c r="A476" s="32" t="str">
        <f t="shared" si="1"/>
        <v>2/2026</v>
      </c>
      <c r="B476" s="25">
        <v>46059.486573726856</v>
      </c>
      <c r="C476" s="21" t="s">
        <v>115</v>
      </c>
      <c r="D476" s="21" t="s">
        <v>1933</v>
      </c>
      <c r="E476" s="26" t="s">
        <v>1934</v>
      </c>
      <c r="F476" s="21" t="s">
        <v>118</v>
      </c>
      <c r="G476" s="21" t="s">
        <v>1935</v>
      </c>
      <c r="H476" s="21" t="s">
        <v>141</v>
      </c>
      <c r="I476" s="29" t="s">
        <v>1936</v>
      </c>
      <c r="J476" s="21" t="s">
        <v>1486</v>
      </c>
      <c r="K476" s="21" t="s">
        <v>798</v>
      </c>
      <c r="L476" s="27"/>
    </row>
    <row r="477" ht="22.5" customHeight="1">
      <c r="A477" s="32" t="str">
        <f t="shared" si="1"/>
        <v>2/2026</v>
      </c>
      <c r="B477" s="25">
        <v>46059.48995083333</v>
      </c>
      <c r="C477" s="21" t="s">
        <v>115</v>
      </c>
      <c r="D477" s="21" t="s">
        <v>1937</v>
      </c>
      <c r="E477" s="26" t="s">
        <v>1938</v>
      </c>
      <c r="F477" s="21" t="s">
        <v>118</v>
      </c>
      <c r="G477" s="21" t="s">
        <v>1939</v>
      </c>
      <c r="H477" s="21" t="s">
        <v>20</v>
      </c>
      <c r="I477" s="21" t="s">
        <v>1940</v>
      </c>
      <c r="J477" s="21" t="s">
        <v>1941</v>
      </c>
      <c r="K477" s="21">
        <v>1.85825082200065E14</v>
      </c>
      <c r="L477" s="27"/>
    </row>
    <row r="478" ht="22.5" customHeight="1">
      <c r="A478" s="32" t="str">
        <f t="shared" si="1"/>
        <v>2/2026</v>
      </c>
      <c r="B478" s="25">
        <v>46059.49577252315</v>
      </c>
      <c r="C478" s="21" t="s">
        <v>115</v>
      </c>
      <c r="D478" s="21" t="s">
        <v>138</v>
      </c>
      <c r="E478" s="26" t="s">
        <v>1942</v>
      </c>
      <c r="F478" s="21" t="s">
        <v>118</v>
      </c>
      <c r="G478" s="21" t="s">
        <v>1939</v>
      </c>
      <c r="H478" s="21" t="s">
        <v>20</v>
      </c>
      <c r="I478" s="21" t="s">
        <v>1943</v>
      </c>
      <c r="J478" s="21" t="s">
        <v>1797</v>
      </c>
      <c r="K478" s="21">
        <v>1.85825082200085E14</v>
      </c>
      <c r="L478" s="27"/>
    </row>
    <row r="479" ht="22.5" customHeight="1">
      <c r="A479" s="32" t="str">
        <f t="shared" si="1"/>
        <v>2/2026</v>
      </c>
      <c r="B479" s="25">
        <v>46059.49913640047</v>
      </c>
      <c r="C479" s="21" t="s">
        <v>115</v>
      </c>
      <c r="D479" s="21" t="s">
        <v>1944</v>
      </c>
      <c r="E479" s="26" t="s">
        <v>1945</v>
      </c>
      <c r="F479" s="21" t="s">
        <v>812</v>
      </c>
      <c r="G479" s="21" t="s">
        <v>1124</v>
      </c>
      <c r="H479" s="21" t="s">
        <v>141</v>
      </c>
      <c r="I479" s="29" t="s">
        <v>1946</v>
      </c>
      <c r="J479" s="21" t="s">
        <v>1273</v>
      </c>
      <c r="K479" s="21" t="s">
        <v>122</v>
      </c>
      <c r="L479" s="27"/>
    </row>
    <row r="480" ht="22.5" customHeight="1">
      <c r="A480" s="32" t="str">
        <f t="shared" si="1"/>
        <v>2/2026</v>
      </c>
      <c r="B480" s="25">
        <v>46059.5011978588</v>
      </c>
      <c r="C480" s="21" t="s">
        <v>115</v>
      </c>
      <c r="D480" s="21" t="s">
        <v>1759</v>
      </c>
      <c r="E480" s="26" t="s">
        <v>1947</v>
      </c>
      <c r="F480" s="21" t="s">
        <v>74</v>
      </c>
      <c r="G480" s="21" t="s">
        <v>1939</v>
      </c>
      <c r="H480" s="21" t="s">
        <v>141</v>
      </c>
      <c r="I480" s="21" t="s">
        <v>1948</v>
      </c>
      <c r="J480" s="21" t="s">
        <v>1949</v>
      </c>
      <c r="K480" s="21" t="s">
        <v>122</v>
      </c>
      <c r="L480" s="27"/>
    </row>
    <row r="481" ht="22.5" customHeight="1">
      <c r="A481" s="32" t="str">
        <f t="shared" si="1"/>
        <v>2/2026</v>
      </c>
      <c r="B481" s="25">
        <v>46059.50350190973</v>
      </c>
      <c r="C481" s="21" t="s">
        <v>115</v>
      </c>
      <c r="D481" s="21" t="s">
        <v>1852</v>
      </c>
      <c r="E481" s="26" t="s">
        <v>1853</v>
      </c>
      <c r="F481" s="21" t="s">
        <v>118</v>
      </c>
      <c r="G481" s="21" t="s">
        <v>1939</v>
      </c>
      <c r="H481" s="21" t="s">
        <v>141</v>
      </c>
      <c r="I481" s="29" t="s">
        <v>1950</v>
      </c>
      <c r="J481" s="21" t="s">
        <v>1951</v>
      </c>
      <c r="K481" s="21" t="s">
        <v>122</v>
      </c>
      <c r="L481" s="27"/>
    </row>
    <row r="482" ht="22.5" customHeight="1">
      <c r="A482" s="32" t="str">
        <f t="shared" si="1"/>
        <v>2/2026</v>
      </c>
      <c r="B482" s="25">
        <v>46059.50570267361</v>
      </c>
      <c r="C482" s="21" t="s">
        <v>115</v>
      </c>
      <c r="D482" s="21" t="s">
        <v>1952</v>
      </c>
      <c r="E482" s="26" t="s">
        <v>1953</v>
      </c>
      <c r="F482" s="21" t="s">
        <v>118</v>
      </c>
      <c r="G482" s="21" t="s">
        <v>178</v>
      </c>
      <c r="H482" s="21" t="s">
        <v>36</v>
      </c>
      <c r="I482" s="21" t="s">
        <v>1954</v>
      </c>
      <c r="J482" s="21" t="s">
        <v>965</v>
      </c>
      <c r="K482" s="21" t="s">
        <v>122</v>
      </c>
      <c r="L482" s="27"/>
    </row>
    <row r="483" ht="22.5" customHeight="1">
      <c r="A483" s="32" t="str">
        <f t="shared" si="1"/>
        <v>2/2026</v>
      </c>
      <c r="B483" s="25">
        <v>46059.572448692124</v>
      </c>
      <c r="C483" s="21" t="s">
        <v>123</v>
      </c>
      <c r="D483" s="21" t="s">
        <v>1955</v>
      </c>
      <c r="E483" s="21" t="s">
        <v>1956</v>
      </c>
      <c r="F483" s="21" t="s">
        <v>18</v>
      </c>
      <c r="G483" s="21" t="s">
        <v>1957</v>
      </c>
      <c r="H483" s="21" t="s">
        <v>36</v>
      </c>
      <c r="I483" s="21" t="s">
        <v>1958</v>
      </c>
      <c r="J483" s="21" t="s">
        <v>1959</v>
      </c>
      <c r="K483" s="21">
        <v>1.19824092800008E14</v>
      </c>
      <c r="L483" s="27"/>
    </row>
    <row r="484" ht="22.5" customHeight="1">
      <c r="A484" s="32" t="str">
        <f t="shared" si="1"/>
        <v>2/2026</v>
      </c>
      <c r="B484" s="25">
        <v>46059.708762870374</v>
      </c>
      <c r="C484" s="21" t="s">
        <v>32</v>
      </c>
      <c r="D484" s="21" t="s">
        <v>1904</v>
      </c>
      <c r="E484" s="26" t="s">
        <v>1905</v>
      </c>
      <c r="F484" s="21" t="s">
        <v>18</v>
      </c>
      <c r="G484" s="21" t="s">
        <v>1906</v>
      </c>
      <c r="H484" s="21" t="s">
        <v>36</v>
      </c>
      <c r="I484" s="21" t="s">
        <v>1960</v>
      </c>
      <c r="J484" s="21" t="s">
        <v>168</v>
      </c>
      <c r="K484" s="21">
        <v>1.39922120800128E14</v>
      </c>
      <c r="L484" s="27"/>
    </row>
    <row r="485" ht="22.5" customHeight="1">
      <c r="A485" s="32" t="str">
        <f t="shared" si="1"/>
        <v>2/2026</v>
      </c>
      <c r="B485" s="25">
        <v>46059.71030605324</v>
      </c>
      <c r="C485" s="21" t="s">
        <v>618</v>
      </c>
      <c r="D485" s="21" t="s">
        <v>1961</v>
      </c>
      <c r="E485" s="26" t="s">
        <v>1962</v>
      </c>
      <c r="F485" s="21" t="s">
        <v>118</v>
      </c>
      <c r="G485" s="21" t="s">
        <v>1817</v>
      </c>
      <c r="H485" s="21" t="s">
        <v>36</v>
      </c>
      <c r="I485" s="21" t="s">
        <v>1963</v>
      </c>
      <c r="J485" s="21" t="s">
        <v>970</v>
      </c>
      <c r="K485" s="21">
        <v>1.19821080500417E14</v>
      </c>
      <c r="L485" s="27"/>
    </row>
    <row r="486" ht="22.5" customHeight="1">
      <c r="A486" s="32" t="str">
        <f t="shared" si="1"/>
        <v>2/2026</v>
      </c>
      <c r="B486" s="25">
        <v>46059.71984041667</v>
      </c>
      <c r="C486" s="21" t="s">
        <v>103</v>
      </c>
      <c r="D486" s="21" t="s">
        <v>1964</v>
      </c>
      <c r="E486" s="26" t="s">
        <v>1965</v>
      </c>
      <c r="F486" s="21" t="s">
        <v>106</v>
      </c>
      <c r="G486" s="21">
        <v>3626.0</v>
      </c>
      <c r="H486" s="21" t="s">
        <v>20</v>
      </c>
      <c r="I486" s="21" t="s">
        <v>1966</v>
      </c>
      <c r="J486" s="21" t="s">
        <v>1967</v>
      </c>
      <c r="K486" s="21">
        <v>1.86825082100059E14</v>
      </c>
      <c r="L486" s="27"/>
    </row>
    <row r="487" ht="22.5" customHeight="1">
      <c r="A487" s="32" t="str">
        <f t="shared" si="1"/>
        <v>2/2026</v>
      </c>
      <c r="B487" s="25">
        <v>46059.80317861111</v>
      </c>
      <c r="C487" s="21" t="s">
        <v>132</v>
      </c>
      <c r="D487" s="21" t="s">
        <v>1968</v>
      </c>
      <c r="E487" s="26" t="s">
        <v>870</v>
      </c>
      <c r="F487" s="21" t="s">
        <v>482</v>
      </c>
      <c r="G487" s="21" t="s">
        <v>1969</v>
      </c>
      <c r="H487" s="21" t="s">
        <v>425</v>
      </c>
      <c r="I487" s="21" t="s">
        <v>1970</v>
      </c>
      <c r="J487" s="21" t="s">
        <v>1971</v>
      </c>
      <c r="K487" s="21">
        <v>1.86825082100176E14</v>
      </c>
      <c r="L487" s="27"/>
    </row>
    <row r="488" ht="22.5" customHeight="1">
      <c r="A488" s="32" t="str">
        <f t="shared" si="1"/>
        <v>2/2026</v>
      </c>
      <c r="B488" s="25">
        <v>46059.80470724537</v>
      </c>
      <c r="C488" s="21" t="s">
        <v>226</v>
      </c>
      <c r="D488" s="21" t="s">
        <v>1972</v>
      </c>
      <c r="E488" s="26" t="s">
        <v>1973</v>
      </c>
      <c r="F488" s="21" t="s">
        <v>18</v>
      </c>
      <c r="G488" s="21" t="s">
        <v>1974</v>
      </c>
      <c r="H488" s="21" t="s">
        <v>44</v>
      </c>
      <c r="I488" s="21" t="s">
        <v>1975</v>
      </c>
      <c r="J488" s="21" t="s">
        <v>1136</v>
      </c>
      <c r="K488" s="21">
        <v>1.85825082200053E14</v>
      </c>
      <c r="L488" s="27"/>
    </row>
    <row r="489" ht="22.5" customHeight="1">
      <c r="A489" s="32" t="str">
        <f t="shared" si="1"/>
        <v>2/2026</v>
      </c>
      <c r="B489" s="25">
        <v>46059.807766805556</v>
      </c>
      <c r="C489" s="21" t="s">
        <v>132</v>
      </c>
      <c r="D489" s="21" t="s">
        <v>1976</v>
      </c>
      <c r="E489" s="26" t="s">
        <v>1977</v>
      </c>
      <c r="F489" s="21" t="s">
        <v>18</v>
      </c>
      <c r="G489" s="21" t="s">
        <v>784</v>
      </c>
      <c r="H489" s="21" t="s">
        <v>20</v>
      </c>
      <c r="I489" s="21" t="s">
        <v>1978</v>
      </c>
      <c r="J489" s="21" t="s">
        <v>882</v>
      </c>
      <c r="K489" s="21">
        <v>1.83825082100009E14</v>
      </c>
      <c r="L489" s="27"/>
    </row>
    <row r="490" ht="22.5" customHeight="1">
      <c r="A490" s="32" t="str">
        <f t="shared" si="1"/>
        <v>2/2026</v>
      </c>
      <c r="B490" s="25">
        <v>46059.81063482639</v>
      </c>
      <c r="C490" s="21" t="s">
        <v>132</v>
      </c>
      <c r="D490" s="21" t="s">
        <v>1979</v>
      </c>
      <c r="E490" s="26" t="s">
        <v>1980</v>
      </c>
      <c r="F490" s="21" t="s">
        <v>18</v>
      </c>
      <c r="G490" s="21">
        <v>3626.0</v>
      </c>
      <c r="H490" s="21" t="s">
        <v>20</v>
      </c>
      <c r="I490" s="21" t="s">
        <v>1981</v>
      </c>
      <c r="J490" s="21">
        <v>3626.0</v>
      </c>
      <c r="K490" s="21">
        <v>1.86825082100143E14</v>
      </c>
      <c r="L490" s="27"/>
    </row>
    <row r="491" ht="22.5" customHeight="1">
      <c r="A491" s="32" t="str">
        <f t="shared" si="1"/>
        <v>2/2026</v>
      </c>
      <c r="B491" s="25">
        <v>46059.81419009259</v>
      </c>
      <c r="C491" s="21" t="s">
        <v>132</v>
      </c>
      <c r="D491" s="21" t="s">
        <v>1982</v>
      </c>
      <c r="E491" s="26" t="s">
        <v>1983</v>
      </c>
      <c r="F491" s="21" t="s">
        <v>18</v>
      </c>
      <c r="G491" s="21" t="s">
        <v>217</v>
      </c>
      <c r="H491" s="21" t="s">
        <v>20</v>
      </c>
      <c r="I491" s="21" t="s">
        <v>1984</v>
      </c>
      <c r="J491" s="21" t="s">
        <v>1985</v>
      </c>
      <c r="K491" s="21">
        <v>1.85825082200051E14</v>
      </c>
      <c r="L491" s="27"/>
    </row>
    <row r="492" ht="22.5" customHeight="1">
      <c r="A492" s="32" t="str">
        <f t="shared" si="1"/>
        <v>2/2026</v>
      </c>
      <c r="B492" s="25">
        <v>46059.86143819445</v>
      </c>
      <c r="C492" s="21" t="s">
        <v>710</v>
      </c>
      <c r="D492" s="21" t="s">
        <v>1986</v>
      </c>
      <c r="E492" s="26" t="s">
        <v>1987</v>
      </c>
      <c r="F492" s="21" t="s">
        <v>713</v>
      </c>
      <c r="G492" s="21" t="s">
        <v>1603</v>
      </c>
      <c r="H492" s="21" t="s">
        <v>20</v>
      </c>
      <c r="I492" s="21" t="s">
        <v>1988</v>
      </c>
      <c r="J492" s="21" t="s">
        <v>1912</v>
      </c>
      <c r="K492" s="21">
        <v>1.85825082200123E14</v>
      </c>
      <c r="L492" s="27"/>
    </row>
    <row r="493" ht="22.5" customHeight="1">
      <c r="A493" s="32" t="str">
        <f t="shared" si="1"/>
        <v>2/2026</v>
      </c>
      <c r="B493" s="25">
        <v>46059.870201342594</v>
      </c>
      <c r="C493" s="21" t="s">
        <v>1989</v>
      </c>
      <c r="D493" s="21" t="s">
        <v>1990</v>
      </c>
      <c r="E493" s="26" t="s">
        <v>1991</v>
      </c>
      <c r="F493" s="21" t="s">
        <v>64</v>
      </c>
      <c r="G493" s="21" t="s">
        <v>1603</v>
      </c>
      <c r="H493" s="21" t="s">
        <v>20</v>
      </c>
      <c r="I493" s="21" t="s">
        <v>1992</v>
      </c>
      <c r="J493" s="21" t="s">
        <v>1912</v>
      </c>
      <c r="K493" s="21">
        <v>1.85825082200079E14</v>
      </c>
      <c r="L493" s="27"/>
    </row>
    <row r="494" ht="22.5" customHeight="1">
      <c r="A494" s="32" t="str">
        <f t="shared" si="1"/>
        <v>2/2026</v>
      </c>
      <c r="B494" s="25">
        <v>46059.88440744213</v>
      </c>
      <c r="C494" s="21" t="s">
        <v>71</v>
      </c>
      <c r="D494" s="21" t="s">
        <v>1993</v>
      </c>
      <c r="E494" s="26" t="s">
        <v>1994</v>
      </c>
      <c r="F494" s="21" t="s">
        <v>74</v>
      </c>
      <c r="G494" s="21" t="s">
        <v>1603</v>
      </c>
      <c r="H494" s="21" t="s">
        <v>20</v>
      </c>
      <c r="I494" s="21" t="s">
        <v>1995</v>
      </c>
      <c r="J494" s="21" t="s">
        <v>1996</v>
      </c>
      <c r="K494" s="21">
        <v>1.85825082200118E14</v>
      </c>
      <c r="L494" s="21" t="s">
        <v>1997</v>
      </c>
    </row>
    <row r="495" ht="22.5" customHeight="1">
      <c r="A495" s="32" t="str">
        <f t="shared" si="1"/>
        <v>2/2026</v>
      </c>
      <c r="B495" s="25">
        <v>46060.42010591435</v>
      </c>
      <c r="C495" s="21" t="s">
        <v>1181</v>
      </c>
      <c r="D495" s="21" t="s">
        <v>1998</v>
      </c>
      <c r="E495" s="26" t="s">
        <v>1999</v>
      </c>
      <c r="F495" s="21" t="s">
        <v>18</v>
      </c>
      <c r="G495" s="21" t="s">
        <v>2000</v>
      </c>
      <c r="H495" s="21" t="s">
        <v>36</v>
      </c>
      <c r="I495" s="30" t="s">
        <v>2001</v>
      </c>
      <c r="J495" s="21" t="s">
        <v>2002</v>
      </c>
      <c r="K495" s="21" t="s">
        <v>1221</v>
      </c>
      <c r="L495" s="27"/>
    </row>
    <row r="496" ht="22.5" customHeight="1">
      <c r="A496" s="32" t="str">
        <f t="shared" si="1"/>
        <v>2/2026</v>
      </c>
      <c r="B496" s="25">
        <v>46060.421296851855</v>
      </c>
      <c r="C496" s="21" t="s">
        <v>1181</v>
      </c>
      <c r="D496" s="21" t="s">
        <v>2003</v>
      </c>
      <c r="E496" s="26" t="s">
        <v>2004</v>
      </c>
      <c r="F496" s="21" t="s">
        <v>18</v>
      </c>
      <c r="G496" s="21" t="s">
        <v>2005</v>
      </c>
      <c r="H496" s="21" t="s">
        <v>141</v>
      </c>
      <c r="I496" s="29" t="s">
        <v>2006</v>
      </c>
      <c r="J496" s="21" t="s">
        <v>2007</v>
      </c>
      <c r="K496" s="21" t="s">
        <v>1727</v>
      </c>
      <c r="L496" s="27"/>
    </row>
    <row r="497" ht="22.5" customHeight="1">
      <c r="A497" s="32" t="str">
        <f t="shared" si="1"/>
        <v>2/2026</v>
      </c>
      <c r="B497" s="25">
        <v>46060.42328070602</v>
      </c>
      <c r="C497" s="21" t="s">
        <v>1181</v>
      </c>
      <c r="D497" s="21" t="s">
        <v>2008</v>
      </c>
      <c r="E497" s="21" t="s">
        <v>1221</v>
      </c>
      <c r="F497" s="21" t="s">
        <v>18</v>
      </c>
      <c r="G497" s="21" t="s">
        <v>2009</v>
      </c>
      <c r="H497" s="21" t="s">
        <v>141</v>
      </c>
      <c r="I497" s="29" t="s">
        <v>2010</v>
      </c>
      <c r="J497" s="21" t="s">
        <v>2011</v>
      </c>
      <c r="K497" s="21" t="s">
        <v>1221</v>
      </c>
      <c r="L497" s="27"/>
    </row>
    <row r="498" ht="22.5" customHeight="1">
      <c r="A498" s="32" t="str">
        <f t="shared" si="1"/>
        <v>2/2026</v>
      </c>
      <c r="B498" s="25">
        <v>46060.42703372685</v>
      </c>
      <c r="C498" s="21" t="s">
        <v>1181</v>
      </c>
      <c r="D498" s="21" t="s">
        <v>1117</v>
      </c>
      <c r="E498" s="26" t="s">
        <v>2012</v>
      </c>
      <c r="F498" s="21" t="s">
        <v>18</v>
      </c>
      <c r="G498" s="21" t="s">
        <v>1505</v>
      </c>
      <c r="H498" s="21" t="s">
        <v>36</v>
      </c>
      <c r="I498" s="21" t="s">
        <v>2013</v>
      </c>
      <c r="J498" s="21" t="s">
        <v>2014</v>
      </c>
      <c r="K498" s="21" t="s">
        <v>1221</v>
      </c>
      <c r="L498" s="27"/>
    </row>
    <row r="499" ht="22.5" customHeight="1">
      <c r="A499" s="32" t="str">
        <f t="shared" si="1"/>
        <v>2/2026</v>
      </c>
      <c r="B499" s="25">
        <v>46060.430491770836</v>
      </c>
      <c r="C499" s="21" t="s">
        <v>1181</v>
      </c>
      <c r="D499" s="21" t="s">
        <v>2015</v>
      </c>
      <c r="E499" s="21" t="s">
        <v>1727</v>
      </c>
      <c r="F499" s="21" t="s">
        <v>18</v>
      </c>
      <c r="G499" s="21" t="s">
        <v>2016</v>
      </c>
      <c r="H499" s="21" t="s">
        <v>141</v>
      </c>
      <c r="I499" s="29" t="s">
        <v>2017</v>
      </c>
      <c r="J499" s="21" t="s">
        <v>2018</v>
      </c>
      <c r="K499" s="21" t="s">
        <v>1221</v>
      </c>
      <c r="L499" s="27"/>
    </row>
    <row r="500" ht="22.5" customHeight="1">
      <c r="A500" s="32" t="str">
        <f t="shared" si="1"/>
        <v>2/2026</v>
      </c>
      <c r="B500" s="25">
        <v>46060.433545949076</v>
      </c>
      <c r="C500" s="21" t="s">
        <v>1181</v>
      </c>
      <c r="D500" s="21" t="s">
        <v>2019</v>
      </c>
      <c r="E500" s="26" t="s">
        <v>1987</v>
      </c>
      <c r="F500" s="21" t="s">
        <v>18</v>
      </c>
      <c r="G500" s="21" t="s">
        <v>2005</v>
      </c>
      <c r="H500" s="21" t="s">
        <v>141</v>
      </c>
      <c r="I500" s="29" t="s">
        <v>2020</v>
      </c>
      <c r="J500" s="21" t="s">
        <v>2021</v>
      </c>
      <c r="K500" s="21" t="s">
        <v>1727</v>
      </c>
      <c r="L500" s="27"/>
    </row>
    <row r="501" ht="22.5" customHeight="1">
      <c r="A501" s="32" t="str">
        <f t="shared" si="1"/>
        <v>2/2026</v>
      </c>
      <c r="B501" s="25">
        <v>46060.44323651621</v>
      </c>
      <c r="C501" s="21" t="s">
        <v>618</v>
      </c>
      <c r="D501" s="21" t="s">
        <v>2022</v>
      </c>
      <c r="E501" s="26" t="s">
        <v>2023</v>
      </c>
      <c r="F501" s="21" t="s">
        <v>118</v>
      </c>
      <c r="G501" s="21" t="s">
        <v>2024</v>
      </c>
      <c r="H501" s="21" t="s">
        <v>20</v>
      </c>
      <c r="I501" s="21" t="s">
        <v>2025</v>
      </c>
      <c r="J501" s="21" t="s">
        <v>882</v>
      </c>
      <c r="K501" s="21">
        <v>1.8582508220012E14</v>
      </c>
      <c r="L501" s="27"/>
    </row>
    <row r="502" ht="22.5" customHeight="1">
      <c r="A502" s="32" t="str">
        <f t="shared" si="1"/>
        <v>2/2026</v>
      </c>
      <c r="B502" s="25">
        <v>46060.55235244213</v>
      </c>
      <c r="C502" s="21" t="s">
        <v>408</v>
      </c>
      <c r="D502" s="21" t="s">
        <v>2026</v>
      </c>
      <c r="E502" s="26" t="s">
        <v>2027</v>
      </c>
      <c r="F502" s="21" t="s">
        <v>118</v>
      </c>
      <c r="G502" s="21" t="s">
        <v>2028</v>
      </c>
      <c r="H502" s="21" t="s">
        <v>36</v>
      </c>
      <c r="I502" s="21" t="s">
        <v>2029</v>
      </c>
      <c r="J502" s="21" t="s">
        <v>2030</v>
      </c>
      <c r="K502" s="21">
        <v>1.39823112300449E14</v>
      </c>
      <c r="L502" s="27"/>
    </row>
    <row r="503" ht="22.5" customHeight="1">
      <c r="A503" s="32" t="str">
        <f t="shared" si="1"/>
        <v>2/2026</v>
      </c>
      <c r="B503" s="25">
        <v>46060.95319917824</v>
      </c>
      <c r="C503" s="21" t="s">
        <v>77</v>
      </c>
      <c r="D503" s="21" t="s">
        <v>2031</v>
      </c>
      <c r="E503" s="26" t="s">
        <v>2032</v>
      </c>
      <c r="F503" s="21" t="s">
        <v>64</v>
      </c>
      <c r="G503" s="21" t="s">
        <v>2033</v>
      </c>
      <c r="H503" s="21" t="s">
        <v>20</v>
      </c>
      <c r="I503" s="29" t="s">
        <v>2034</v>
      </c>
      <c r="J503" s="21" t="s">
        <v>2035</v>
      </c>
      <c r="K503" s="21">
        <v>1.85825082200075E14</v>
      </c>
      <c r="L503" s="27"/>
    </row>
    <row r="504" ht="22.5" customHeight="1">
      <c r="A504" s="32" t="str">
        <f t="shared" si="1"/>
        <v>2/2026</v>
      </c>
      <c r="B504" s="25">
        <v>46060.958570243056</v>
      </c>
      <c r="C504" s="21" t="s">
        <v>77</v>
      </c>
      <c r="D504" s="21" t="s">
        <v>2036</v>
      </c>
      <c r="E504" s="26" t="s">
        <v>2037</v>
      </c>
      <c r="F504" s="21" t="s">
        <v>64</v>
      </c>
      <c r="G504" s="21" t="s">
        <v>2038</v>
      </c>
      <c r="H504" s="21" t="s">
        <v>36</v>
      </c>
      <c r="I504" s="29" t="s">
        <v>2039</v>
      </c>
      <c r="J504" s="21" t="s">
        <v>2040</v>
      </c>
      <c r="K504" s="21">
        <v>1.39824091100032E14</v>
      </c>
      <c r="L504" s="27"/>
    </row>
    <row r="505" ht="22.5" customHeight="1">
      <c r="A505" s="32" t="str">
        <f t="shared" si="1"/>
        <v>2/2026</v>
      </c>
      <c r="B505" s="25">
        <v>46061.27286739583</v>
      </c>
      <c r="C505" s="21" t="s">
        <v>39</v>
      </c>
      <c r="D505" s="21" t="s">
        <v>2041</v>
      </c>
      <c r="E505" s="26" t="s">
        <v>2042</v>
      </c>
      <c r="F505" s="21" t="s">
        <v>42</v>
      </c>
      <c r="G505" s="21" t="s">
        <v>734</v>
      </c>
      <c r="H505" s="21" t="s">
        <v>20</v>
      </c>
      <c r="I505" s="21" t="s">
        <v>2043</v>
      </c>
      <c r="J505" s="21" t="s">
        <v>2044</v>
      </c>
      <c r="K505" s="21">
        <v>1.85825082200021E14</v>
      </c>
      <c r="L505" s="27"/>
    </row>
    <row r="506" ht="22.5" customHeight="1">
      <c r="A506" s="32" t="str">
        <f t="shared" si="1"/>
        <v>2/2026</v>
      </c>
      <c r="B506" s="25">
        <v>46061.51118664352</v>
      </c>
      <c r="C506" s="21" t="s">
        <v>2045</v>
      </c>
      <c r="D506" s="21" t="s">
        <v>2046</v>
      </c>
      <c r="E506" s="26" t="s">
        <v>2047</v>
      </c>
      <c r="F506" s="21" t="s">
        <v>608</v>
      </c>
      <c r="G506" s="21" t="s">
        <v>217</v>
      </c>
      <c r="H506" s="21" t="s">
        <v>20</v>
      </c>
      <c r="I506" s="21" t="s">
        <v>2048</v>
      </c>
      <c r="J506" s="21" t="s">
        <v>2049</v>
      </c>
      <c r="K506" s="21">
        <v>1.85825082200093E14</v>
      </c>
      <c r="L506" s="27"/>
    </row>
    <row r="507" ht="22.5" customHeight="1">
      <c r="A507" s="32" t="str">
        <f t="shared" si="1"/>
        <v>2/2026</v>
      </c>
      <c r="B507" s="25">
        <v>46061.53587690972</v>
      </c>
      <c r="C507" s="21" t="s">
        <v>32</v>
      </c>
      <c r="D507" s="21" t="s">
        <v>2050</v>
      </c>
      <c r="E507" s="26" t="s">
        <v>2051</v>
      </c>
      <c r="F507" s="21" t="s">
        <v>18</v>
      </c>
      <c r="G507" s="21" t="s">
        <v>217</v>
      </c>
      <c r="H507" s="21" t="s">
        <v>20</v>
      </c>
      <c r="I507" s="21" t="s">
        <v>2052</v>
      </c>
      <c r="J507" s="21" t="s">
        <v>97</v>
      </c>
      <c r="K507" s="21">
        <v>1.85825082200097E14</v>
      </c>
      <c r="L507" s="27"/>
    </row>
    <row r="508" ht="22.5" customHeight="1">
      <c r="A508" s="32" t="str">
        <f t="shared" si="1"/>
        <v>2/2026</v>
      </c>
      <c r="B508" s="25">
        <v>46061.540355613426</v>
      </c>
      <c r="C508" s="21" t="s">
        <v>66</v>
      </c>
      <c r="D508" s="21" t="s">
        <v>2053</v>
      </c>
      <c r="E508" s="26" t="s">
        <v>2054</v>
      </c>
      <c r="F508" s="21" t="s">
        <v>69</v>
      </c>
      <c r="G508" s="21" t="s">
        <v>1603</v>
      </c>
      <c r="H508" s="21" t="s">
        <v>44</v>
      </c>
      <c r="I508" s="21" t="s">
        <v>2055</v>
      </c>
      <c r="J508" s="21" t="s">
        <v>2056</v>
      </c>
      <c r="K508" s="21">
        <v>1.85825082200109E14</v>
      </c>
      <c r="L508" s="27"/>
    </row>
    <row r="509" ht="22.5" customHeight="1">
      <c r="A509" s="32" t="str">
        <f t="shared" si="1"/>
        <v>2/2026</v>
      </c>
      <c r="B509" s="25">
        <v>46061.54087489583</v>
      </c>
      <c r="C509" s="21" t="s">
        <v>56</v>
      </c>
      <c r="D509" s="21" t="s">
        <v>2057</v>
      </c>
      <c r="E509" s="26" t="s">
        <v>2058</v>
      </c>
      <c r="F509" s="21" t="s">
        <v>18</v>
      </c>
      <c r="G509" s="21" t="s">
        <v>2059</v>
      </c>
      <c r="H509" s="21" t="s">
        <v>36</v>
      </c>
      <c r="I509" s="30" t="s">
        <v>2060</v>
      </c>
      <c r="J509" s="21" t="s">
        <v>55</v>
      </c>
      <c r="K509" s="21">
        <v>1.3892409270027E14</v>
      </c>
      <c r="L509" s="27"/>
    </row>
    <row r="510" ht="22.5" customHeight="1">
      <c r="A510" s="32" t="str">
        <f t="shared" si="1"/>
        <v>2/2026</v>
      </c>
      <c r="B510" s="25">
        <v>46061.55225511574</v>
      </c>
      <c r="C510" s="21" t="s">
        <v>123</v>
      </c>
      <c r="D510" s="21" t="s">
        <v>2061</v>
      </c>
      <c r="E510" s="26" t="s">
        <v>2062</v>
      </c>
      <c r="F510" s="21" t="s">
        <v>18</v>
      </c>
      <c r="G510" s="21" t="s">
        <v>948</v>
      </c>
      <c r="H510" s="21" t="s">
        <v>20</v>
      </c>
      <c r="I510" s="21" t="s">
        <v>2063</v>
      </c>
      <c r="J510" s="21" t="s">
        <v>2064</v>
      </c>
      <c r="K510" s="21">
        <v>1.858250822001E14</v>
      </c>
      <c r="L510" s="27"/>
    </row>
    <row r="511" ht="22.5" customHeight="1">
      <c r="A511" s="32" t="str">
        <f t="shared" si="1"/>
        <v>2/2026</v>
      </c>
      <c r="B511" s="25">
        <v>46061.578757662035</v>
      </c>
      <c r="C511" s="21" t="s">
        <v>1181</v>
      </c>
      <c r="D511" s="21" t="s">
        <v>2065</v>
      </c>
      <c r="E511" s="26" t="s">
        <v>2066</v>
      </c>
      <c r="F511" s="21" t="s">
        <v>18</v>
      </c>
      <c r="G511" s="21" t="s">
        <v>2067</v>
      </c>
      <c r="H511" s="21" t="s">
        <v>36</v>
      </c>
      <c r="I511" s="21" t="s">
        <v>2068</v>
      </c>
      <c r="J511" s="21" t="s">
        <v>2069</v>
      </c>
      <c r="K511" s="21" t="s">
        <v>1727</v>
      </c>
      <c r="L511" s="27"/>
    </row>
    <row r="512" ht="22.5" customHeight="1">
      <c r="A512" s="32" t="str">
        <f t="shared" si="1"/>
        <v>2/2026</v>
      </c>
      <c r="B512" s="25">
        <v>46061.665507337966</v>
      </c>
      <c r="C512" s="21" t="s">
        <v>115</v>
      </c>
      <c r="D512" s="21" t="s">
        <v>2070</v>
      </c>
      <c r="E512" s="26" t="s">
        <v>2071</v>
      </c>
      <c r="F512" s="21" t="s">
        <v>118</v>
      </c>
      <c r="G512" s="21" t="s">
        <v>1939</v>
      </c>
      <c r="H512" s="21" t="s">
        <v>20</v>
      </c>
      <c r="I512" s="21" t="s">
        <v>2072</v>
      </c>
      <c r="J512" s="21" t="s">
        <v>809</v>
      </c>
      <c r="K512" s="21">
        <v>1.85825082200009E14</v>
      </c>
      <c r="L512" s="27"/>
    </row>
    <row r="513" ht="22.5" customHeight="1">
      <c r="A513" s="32" t="str">
        <f t="shared" si="1"/>
        <v>2/2026</v>
      </c>
      <c r="B513" s="25">
        <v>46061.667967291665</v>
      </c>
      <c r="C513" s="21" t="s">
        <v>115</v>
      </c>
      <c r="D513" s="21" t="s">
        <v>2073</v>
      </c>
      <c r="E513" s="26" t="s">
        <v>2074</v>
      </c>
      <c r="F513" s="21" t="s">
        <v>118</v>
      </c>
      <c r="G513" s="21" t="s">
        <v>178</v>
      </c>
      <c r="H513" s="21" t="s">
        <v>141</v>
      </c>
      <c r="I513" s="21" t="s">
        <v>2075</v>
      </c>
      <c r="J513" s="21" t="s">
        <v>1756</v>
      </c>
      <c r="K513" s="21" t="s">
        <v>122</v>
      </c>
      <c r="L513" s="27"/>
    </row>
    <row r="514" ht="22.5" customHeight="1">
      <c r="A514" s="32" t="str">
        <f t="shared" si="1"/>
        <v>2/2026</v>
      </c>
      <c r="B514" s="25">
        <v>46062.400670567135</v>
      </c>
      <c r="C514" s="21" t="s">
        <v>132</v>
      </c>
      <c r="D514" s="21" t="s">
        <v>2076</v>
      </c>
      <c r="E514" s="26" t="s">
        <v>2077</v>
      </c>
      <c r="F514" s="21" t="s">
        <v>18</v>
      </c>
      <c r="G514" s="21">
        <v>5840.0</v>
      </c>
      <c r="H514" s="21" t="s">
        <v>20</v>
      </c>
      <c r="I514" s="21" t="s">
        <v>2078</v>
      </c>
      <c r="J514" s="21" t="s">
        <v>2079</v>
      </c>
      <c r="K514" s="21">
        <v>1.84825082100252E14</v>
      </c>
      <c r="L514" s="27"/>
    </row>
    <row r="515" ht="22.5" customHeight="1">
      <c r="A515" s="32" t="str">
        <f t="shared" si="1"/>
        <v>2/2026</v>
      </c>
      <c r="B515" s="25">
        <v>46062.40262491898</v>
      </c>
      <c r="C515" s="21" t="s">
        <v>132</v>
      </c>
      <c r="D515" s="21" t="s">
        <v>2080</v>
      </c>
      <c r="E515" s="26" t="s">
        <v>2081</v>
      </c>
      <c r="F515" s="21" t="s">
        <v>18</v>
      </c>
      <c r="G515" s="21">
        <v>5840.0</v>
      </c>
      <c r="H515" s="21" t="s">
        <v>20</v>
      </c>
      <c r="I515" s="21" t="s">
        <v>2082</v>
      </c>
      <c r="J515" s="21" t="s">
        <v>2079</v>
      </c>
      <c r="K515" s="21">
        <v>1.83825082100124E14</v>
      </c>
      <c r="L515" s="27"/>
    </row>
    <row r="516" ht="22.5" customHeight="1">
      <c r="A516" s="32" t="str">
        <f t="shared" si="1"/>
        <v>2/2026</v>
      </c>
      <c r="B516" s="25">
        <v>46062.66442765047</v>
      </c>
      <c r="C516" s="21" t="s">
        <v>618</v>
      </c>
      <c r="D516" s="21" t="s">
        <v>2083</v>
      </c>
      <c r="E516" s="26" t="s">
        <v>2084</v>
      </c>
      <c r="F516" s="21" t="s">
        <v>118</v>
      </c>
      <c r="G516" s="21" t="s">
        <v>2085</v>
      </c>
      <c r="H516" s="21" t="s">
        <v>36</v>
      </c>
      <c r="I516" s="21" t="s">
        <v>2086</v>
      </c>
      <c r="J516" s="21" t="s">
        <v>2087</v>
      </c>
      <c r="K516" s="21">
        <v>1.39824092700561E14</v>
      </c>
      <c r="L516" s="27"/>
    </row>
    <row r="517" ht="22.5" customHeight="1">
      <c r="A517" s="32" t="str">
        <f t="shared" si="1"/>
        <v>2/2026</v>
      </c>
      <c r="B517" s="25">
        <v>46062.68519635417</v>
      </c>
      <c r="C517" s="21" t="s">
        <v>77</v>
      </c>
      <c r="D517" s="21" t="s">
        <v>2088</v>
      </c>
      <c r="E517" s="26" t="s">
        <v>2032</v>
      </c>
      <c r="F517" s="21" t="s">
        <v>64</v>
      </c>
      <c r="G517" s="21" t="s">
        <v>2089</v>
      </c>
      <c r="H517" s="21" t="s">
        <v>1678</v>
      </c>
      <c r="I517" s="29" t="s">
        <v>2090</v>
      </c>
      <c r="J517" s="21" t="s">
        <v>2091</v>
      </c>
      <c r="K517" s="21">
        <v>1.85825082200075E14</v>
      </c>
      <c r="L517" s="27"/>
    </row>
    <row r="518" ht="22.5" customHeight="1">
      <c r="A518" s="32" t="str">
        <f t="shared" si="1"/>
        <v>2/2026</v>
      </c>
      <c r="B518" s="25">
        <v>46062.694324386575</v>
      </c>
      <c r="C518" s="21" t="s">
        <v>1890</v>
      </c>
      <c r="D518" s="21" t="s">
        <v>562</v>
      </c>
      <c r="E518" s="26" t="s">
        <v>2092</v>
      </c>
      <c r="F518" s="21" t="s">
        <v>1892</v>
      </c>
      <c r="G518" s="21" t="s">
        <v>784</v>
      </c>
      <c r="H518" s="21" t="s">
        <v>36</v>
      </c>
      <c r="I518" s="21" t="s">
        <v>2093</v>
      </c>
      <c r="J518" s="21" t="s">
        <v>2094</v>
      </c>
      <c r="K518" s="21">
        <v>5840.0</v>
      </c>
      <c r="L518" s="27"/>
    </row>
    <row r="519" ht="22.5" customHeight="1">
      <c r="A519" s="32" t="str">
        <f t="shared" si="1"/>
        <v>2/2026</v>
      </c>
      <c r="B519" s="25">
        <v>46062.729866064816</v>
      </c>
      <c r="C519" s="21" t="s">
        <v>1181</v>
      </c>
      <c r="D519" s="21" t="s">
        <v>2095</v>
      </c>
      <c r="E519" s="26" t="s">
        <v>2096</v>
      </c>
      <c r="F519" s="21" t="s">
        <v>18</v>
      </c>
      <c r="G519" s="21" t="s">
        <v>2097</v>
      </c>
      <c r="H519" s="21" t="s">
        <v>36</v>
      </c>
      <c r="I519" s="30" t="s">
        <v>2098</v>
      </c>
      <c r="J519" s="21" t="s">
        <v>2099</v>
      </c>
      <c r="K519" s="21" t="s">
        <v>1436</v>
      </c>
      <c r="L519" s="27"/>
    </row>
    <row r="520" ht="22.5" customHeight="1">
      <c r="A520" s="32" t="str">
        <f t="shared" si="1"/>
        <v>2/2026</v>
      </c>
      <c r="B520" s="25">
        <v>46062.73283930555</v>
      </c>
      <c r="C520" s="21" t="s">
        <v>1181</v>
      </c>
      <c r="D520" s="21" t="s">
        <v>2100</v>
      </c>
      <c r="E520" s="26" t="s">
        <v>2101</v>
      </c>
      <c r="F520" s="21" t="s">
        <v>18</v>
      </c>
      <c r="G520" s="21" t="s">
        <v>2102</v>
      </c>
      <c r="H520" s="21" t="s">
        <v>36</v>
      </c>
      <c r="I520" s="21" t="s">
        <v>2103</v>
      </c>
      <c r="J520" s="21" t="s">
        <v>2104</v>
      </c>
      <c r="K520" s="21" t="s">
        <v>2105</v>
      </c>
      <c r="L520" s="27"/>
    </row>
    <row r="521" ht="22.5" customHeight="1">
      <c r="A521" s="32" t="str">
        <f t="shared" si="1"/>
        <v>2/2026</v>
      </c>
      <c r="B521" s="25">
        <v>46062.73684817129</v>
      </c>
      <c r="C521" s="21" t="s">
        <v>1181</v>
      </c>
      <c r="D521" s="21" t="s">
        <v>2106</v>
      </c>
      <c r="E521" s="26" t="s">
        <v>2107</v>
      </c>
      <c r="F521" s="21" t="s">
        <v>18</v>
      </c>
      <c r="G521" s="21" t="s">
        <v>1218</v>
      </c>
      <c r="H521" s="21" t="s">
        <v>141</v>
      </c>
      <c r="I521" s="21" t="s">
        <v>2108</v>
      </c>
      <c r="J521" s="21" t="s">
        <v>2109</v>
      </c>
      <c r="K521" s="21" t="s">
        <v>1221</v>
      </c>
      <c r="L521" s="27"/>
    </row>
    <row r="522" ht="22.5" customHeight="1">
      <c r="A522" s="32" t="str">
        <f t="shared" si="1"/>
        <v>2/2026</v>
      </c>
      <c r="B522" s="25">
        <v>46062.748413368055</v>
      </c>
      <c r="C522" s="21" t="s">
        <v>618</v>
      </c>
      <c r="D522" s="21" t="s">
        <v>2110</v>
      </c>
      <c r="E522" s="26" t="s">
        <v>2111</v>
      </c>
      <c r="F522" s="21" t="s">
        <v>118</v>
      </c>
      <c r="G522" s="21" t="s">
        <v>2085</v>
      </c>
      <c r="H522" s="21" t="s">
        <v>36</v>
      </c>
      <c r="I522" s="21" t="s">
        <v>2112</v>
      </c>
      <c r="J522" s="21" t="s">
        <v>970</v>
      </c>
      <c r="K522" s="21">
        <v>1.39824092700557E14</v>
      </c>
      <c r="L522" s="27"/>
    </row>
    <row r="523" ht="22.5" customHeight="1">
      <c r="A523" s="32" t="str">
        <f t="shared" si="1"/>
        <v>2/2026</v>
      </c>
      <c r="B523" s="25">
        <v>46062.785594560184</v>
      </c>
      <c r="C523" s="21" t="s">
        <v>115</v>
      </c>
      <c r="D523" s="21" t="s">
        <v>2113</v>
      </c>
      <c r="E523" s="26" t="s">
        <v>2114</v>
      </c>
      <c r="F523" s="21" t="s">
        <v>118</v>
      </c>
      <c r="G523" s="21" t="s">
        <v>178</v>
      </c>
      <c r="H523" s="21" t="s">
        <v>36</v>
      </c>
      <c r="I523" s="30" t="s">
        <v>2115</v>
      </c>
      <c r="J523" s="21" t="s">
        <v>965</v>
      </c>
      <c r="K523" s="21" t="s">
        <v>122</v>
      </c>
      <c r="L523" s="27"/>
    </row>
    <row r="524" ht="22.5" customHeight="1">
      <c r="A524" s="32" t="str">
        <f t="shared" si="1"/>
        <v>2/2026</v>
      </c>
      <c r="B524" s="25">
        <v>46062.78882971065</v>
      </c>
      <c r="C524" s="21" t="s">
        <v>115</v>
      </c>
      <c r="D524" s="21" t="s">
        <v>1933</v>
      </c>
      <c r="E524" s="26" t="s">
        <v>1934</v>
      </c>
      <c r="F524" s="21" t="s">
        <v>118</v>
      </c>
      <c r="G524" s="21" t="s">
        <v>1124</v>
      </c>
      <c r="H524" s="21" t="s">
        <v>141</v>
      </c>
      <c r="I524" s="29" t="s">
        <v>2116</v>
      </c>
      <c r="J524" s="21" t="s">
        <v>1273</v>
      </c>
      <c r="K524" s="21" t="s">
        <v>122</v>
      </c>
      <c r="L524" s="27"/>
    </row>
    <row r="525" ht="22.5" customHeight="1">
      <c r="A525" s="32" t="str">
        <f t="shared" si="1"/>
        <v>2/2026</v>
      </c>
      <c r="B525" s="25">
        <v>46062.79362791667</v>
      </c>
      <c r="C525" s="21" t="s">
        <v>115</v>
      </c>
      <c r="D525" s="21" t="s">
        <v>2117</v>
      </c>
      <c r="E525" s="26" t="s">
        <v>2118</v>
      </c>
      <c r="F525" s="21" t="s">
        <v>118</v>
      </c>
      <c r="G525" s="21" t="s">
        <v>1291</v>
      </c>
      <c r="H525" s="21" t="s">
        <v>36</v>
      </c>
      <c r="I525" s="21" t="s">
        <v>2119</v>
      </c>
      <c r="J525" s="21" t="s">
        <v>965</v>
      </c>
      <c r="K525" s="21" t="s">
        <v>122</v>
      </c>
      <c r="L525" s="27"/>
    </row>
    <row r="526" ht="22.5" customHeight="1">
      <c r="A526" s="32" t="str">
        <f t="shared" si="1"/>
        <v>2/2026</v>
      </c>
      <c r="B526" s="25">
        <v>46062.82088296296</v>
      </c>
      <c r="C526" s="21" t="s">
        <v>115</v>
      </c>
      <c r="D526" s="21" t="s">
        <v>2120</v>
      </c>
      <c r="E526" s="26" t="s">
        <v>2121</v>
      </c>
      <c r="F526" s="21" t="s">
        <v>118</v>
      </c>
      <c r="G526" s="21" t="s">
        <v>948</v>
      </c>
      <c r="H526" s="21" t="s">
        <v>20</v>
      </c>
      <c r="I526" s="21" t="s">
        <v>2122</v>
      </c>
      <c r="J526" s="21" t="s">
        <v>2123</v>
      </c>
      <c r="K526" s="21">
        <v>1858.0</v>
      </c>
      <c r="L526" s="27"/>
    </row>
    <row r="527" ht="22.5" customHeight="1">
      <c r="A527" s="32" t="str">
        <f t="shared" si="1"/>
        <v>2/2026</v>
      </c>
      <c r="B527" s="25">
        <v>46063.408312569445</v>
      </c>
      <c r="C527" s="21" t="s">
        <v>1454</v>
      </c>
      <c r="D527" s="34" t="s">
        <v>2124</v>
      </c>
      <c r="E527" s="26" t="s">
        <v>2125</v>
      </c>
      <c r="F527" s="21" t="s">
        <v>1830</v>
      </c>
      <c r="G527" s="21" t="s">
        <v>1603</v>
      </c>
      <c r="H527" s="21" t="s">
        <v>20</v>
      </c>
      <c r="I527" s="21" t="s">
        <v>2126</v>
      </c>
      <c r="J527" s="21" t="s">
        <v>2127</v>
      </c>
      <c r="K527" s="21">
        <v>1.85825082200076E14</v>
      </c>
      <c r="L527" s="27"/>
    </row>
    <row r="528" ht="22.5" customHeight="1">
      <c r="A528" s="32" t="str">
        <f t="shared" si="1"/>
        <v>2/2026</v>
      </c>
      <c r="B528" s="25">
        <v>46063.426150046296</v>
      </c>
      <c r="C528" s="21" t="s">
        <v>39</v>
      </c>
      <c r="D528" s="21" t="s">
        <v>2128</v>
      </c>
      <c r="E528" s="26" t="s">
        <v>2129</v>
      </c>
      <c r="F528" s="21" t="s">
        <v>42</v>
      </c>
      <c r="G528" s="21" t="s">
        <v>1415</v>
      </c>
      <c r="H528" s="21" t="s">
        <v>36</v>
      </c>
      <c r="I528" s="21" t="s">
        <v>2130</v>
      </c>
      <c r="J528" s="21" t="s">
        <v>2131</v>
      </c>
      <c r="K528" s="21">
        <v>1.39824092700086E14</v>
      </c>
      <c r="L528" s="27"/>
    </row>
    <row r="529" ht="22.5" customHeight="1">
      <c r="A529" s="32" t="str">
        <f t="shared" si="1"/>
        <v>2/2026</v>
      </c>
      <c r="B529" s="25">
        <v>46063.45529211806</v>
      </c>
      <c r="C529" s="21" t="s">
        <v>22</v>
      </c>
      <c r="D529" s="21" t="s">
        <v>2132</v>
      </c>
      <c r="E529" s="26" t="s">
        <v>2133</v>
      </c>
      <c r="F529" s="21" t="s">
        <v>18</v>
      </c>
      <c r="G529" s="21" t="s">
        <v>2134</v>
      </c>
      <c r="H529" s="21" t="s">
        <v>44</v>
      </c>
      <c r="I529" s="30" t="s">
        <v>2135</v>
      </c>
      <c r="J529" s="21" t="s">
        <v>2136</v>
      </c>
      <c r="K529" s="21">
        <v>1.86825082100085E14</v>
      </c>
      <c r="L529" s="27"/>
    </row>
    <row r="530" ht="22.5" customHeight="1">
      <c r="A530" s="32" t="str">
        <f t="shared" si="1"/>
        <v>2/2026</v>
      </c>
      <c r="B530" s="25">
        <v>46063.45867121528</v>
      </c>
      <c r="C530" s="21" t="s">
        <v>22</v>
      </c>
      <c r="D530" s="21" t="s">
        <v>2132</v>
      </c>
      <c r="E530" s="26" t="s">
        <v>2133</v>
      </c>
      <c r="F530" s="21" t="s">
        <v>18</v>
      </c>
      <c r="G530" s="21" t="s">
        <v>2134</v>
      </c>
      <c r="H530" s="21" t="s">
        <v>44</v>
      </c>
      <c r="I530" s="30" t="s">
        <v>2137</v>
      </c>
      <c r="J530" s="21" t="s">
        <v>2138</v>
      </c>
      <c r="K530" s="21">
        <v>1.86825082100174E14</v>
      </c>
      <c r="L530" s="27"/>
    </row>
    <row r="531" ht="22.5" customHeight="1">
      <c r="A531" s="32" t="str">
        <f t="shared" si="1"/>
        <v>2/2026</v>
      </c>
      <c r="B531" s="25">
        <v>46063.46567618055</v>
      </c>
      <c r="C531" s="21" t="s">
        <v>169</v>
      </c>
      <c r="D531" s="21" t="s">
        <v>1247</v>
      </c>
      <c r="E531" s="26" t="s">
        <v>2139</v>
      </c>
      <c r="F531" s="21" t="s">
        <v>118</v>
      </c>
      <c r="G531" s="21" t="s">
        <v>1067</v>
      </c>
      <c r="H531" s="21" t="s">
        <v>20</v>
      </c>
      <c r="I531" s="21" t="s">
        <v>2140</v>
      </c>
      <c r="J531" s="21" t="s">
        <v>2141</v>
      </c>
      <c r="K531" s="21">
        <v>1.8382508210015E14</v>
      </c>
      <c r="L531" s="27"/>
    </row>
    <row r="532" ht="22.5" customHeight="1">
      <c r="A532" s="32" t="str">
        <f t="shared" si="1"/>
        <v>2/2026</v>
      </c>
      <c r="B532" s="25">
        <v>46063.51267188658</v>
      </c>
      <c r="C532" s="21" t="s">
        <v>32</v>
      </c>
      <c r="D532" s="21" t="s">
        <v>2142</v>
      </c>
      <c r="E532" s="26" t="s">
        <v>2143</v>
      </c>
      <c r="F532" s="21" t="s">
        <v>18</v>
      </c>
      <c r="G532" s="21" t="s">
        <v>2144</v>
      </c>
      <c r="H532" s="21" t="s">
        <v>36</v>
      </c>
      <c r="I532" s="21" t="s">
        <v>2145</v>
      </c>
      <c r="J532" s="21" t="s">
        <v>199</v>
      </c>
      <c r="K532" s="21">
        <v>8.92824061500156E14</v>
      </c>
      <c r="L532" s="27"/>
    </row>
    <row r="533" ht="22.5" customHeight="1">
      <c r="A533" s="32" t="str">
        <f t="shared" si="1"/>
        <v>2/2026</v>
      </c>
      <c r="B533" s="25">
        <v>46063.681342627315</v>
      </c>
      <c r="C533" s="21" t="s">
        <v>287</v>
      </c>
      <c r="D533" s="21" t="s">
        <v>2146</v>
      </c>
      <c r="E533" s="26" t="s">
        <v>2147</v>
      </c>
      <c r="F533" s="21" t="s">
        <v>482</v>
      </c>
      <c r="G533" s="21" t="s">
        <v>1603</v>
      </c>
      <c r="H533" s="21" t="s">
        <v>20</v>
      </c>
      <c r="I533" s="21" t="s">
        <v>2148</v>
      </c>
      <c r="J533" s="21" t="s">
        <v>933</v>
      </c>
      <c r="K533" s="21">
        <v>1.85825082200073E14</v>
      </c>
      <c r="L533" s="27"/>
    </row>
    <row r="534" ht="22.5" customHeight="1">
      <c r="A534" s="32" t="str">
        <f t="shared" si="1"/>
        <v>2/2026</v>
      </c>
      <c r="B534" s="25">
        <v>46063.69243401621</v>
      </c>
      <c r="C534" s="21" t="s">
        <v>618</v>
      </c>
      <c r="D534" s="21" t="s">
        <v>2149</v>
      </c>
      <c r="E534" s="26" t="s">
        <v>2150</v>
      </c>
      <c r="F534" s="21" t="s">
        <v>118</v>
      </c>
      <c r="G534" s="21" t="s">
        <v>2151</v>
      </c>
      <c r="H534" s="21" t="s">
        <v>20</v>
      </c>
      <c r="I534" s="21" t="s">
        <v>2152</v>
      </c>
      <c r="J534" s="21" t="s">
        <v>2087</v>
      </c>
      <c r="K534" s="21" t="s">
        <v>2153</v>
      </c>
      <c r="L534" s="27"/>
    </row>
    <row r="535" ht="22.5" customHeight="1">
      <c r="A535" s="32" t="str">
        <f t="shared" si="1"/>
        <v>2/2026</v>
      </c>
      <c r="B535" s="25">
        <v>46063.737588599535</v>
      </c>
      <c r="C535" s="21" t="s">
        <v>1181</v>
      </c>
      <c r="D535" s="21" t="s">
        <v>2154</v>
      </c>
      <c r="E535" s="21">
        <v>9.68722768E8</v>
      </c>
      <c r="F535" s="21" t="s">
        <v>18</v>
      </c>
      <c r="G535" s="21" t="s">
        <v>1505</v>
      </c>
      <c r="H535" s="21" t="s">
        <v>36</v>
      </c>
      <c r="I535" s="21" t="s">
        <v>2155</v>
      </c>
      <c r="J535" s="21" t="s">
        <v>2156</v>
      </c>
      <c r="K535" s="21">
        <v>1.19823072500231E14</v>
      </c>
      <c r="L535" s="27"/>
    </row>
    <row r="536" ht="22.5" customHeight="1">
      <c r="A536" s="32" t="str">
        <f t="shared" si="1"/>
        <v>2/2026</v>
      </c>
      <c r="B536" s="25">
        <v>46063.75394375</v>
      </c>
      <c r="C536" s="21" t="s">
        <v>115</v>
      </c>
      <c r="D536" s="21" t="s">
        <v>2157</v>
      </c>
      <c r="E536" s="26" t="s">
        <v>2158</v>
      </c>
      <c r="F536" s="21" t="s">
        <v>118</v>
      </c>
      <c r="G536" s="21" t="s">
        <v>1287</v>
      </c>
      <c r="H536" s="21" t="s">
        <v>36</v>
      </c>
      <c r="I536" s="21" t="s">
        <v>2159</v>
      </c>
      <c r="J536" s="21" t="s">
        <v>965</v>
      </c>
      <c r="K536" s="21" t="s">
        <v>122</v>
      </c>
      <c r="L536" s="27"/>
    </row>
    <row r="537" ht="22.5" customHeight="1">
      <c r="A537" s="32" t="str">
        <f t="shared" si="1"/>
        <v>2/2026</v>
      </c>
      <c r="B537" s="25">
        <v>46063.77242302083</v>
      </c>
      <c r="C537" s="21" t="s">
        <v>1181</v>
      </c>
      <c r="D537" s="21" t="s">
        <v>2160</v>
      </c>
      <c r="E537" s="21">
        <v>7.66458856E8</v>
      </c>
      <c r="F537" s="21" t="s">
        <v>18</v>
      </c>
      <c r="G537" s="21" t="s">
        <v>2161</v>
      </c>
      <c r="H537" s="21" t="s">
        <v>36</v>
      </c>
      <c r="I537" s="21" t="s">
        <v>2162</v>
      </c>
      <c r="J537" s="21" t="s">
        <v>2163</v>
      </c>
      <c r="K537" s="21">
        <v>1.39824092700604E14</v>
      </c>
      <c r="L537" s="27"/>
    </row>
    <row r="538" ht="22.5" customHeight="1">
      <c r="A538" s="32" t="str">
        <f t="shared" si="1"/>
        <v>2/2026</v>
      </c>
      <c r="B538" s="25">
        <v>46063.816024432876</v>
      </c>
      <c r="C538" s="21" t="s">
        <v>618</v>
      </c>
      <c r="D538" s="21" t="s">
        <v>2164</v>
      </c>
      <c r="E538" s="26" t="s">
        <v>2165</v>
      </c>
      <c r="F538" s="21" t="s">
        <v>118</v>
      </c>
      <c r="G538" s="21" t="s">
        <v>49</v>
      </c>
      <c r="H538" s="21" t="s">
        <v>20</v>
      </c>
      <c r="I538" s="21" t="s">
        <v>2166</v>
      </c>
      <c r="J538" s="21" t="s">
        <v>1598</v>
      </c>
      <c r="K538" s="21">
        <v>1.8482508210019E14</v>
      </c>
      <c r="L538" s="27"/>
    </row>
    <row r="539" ht="22.5" customHeight="1">
      <c r="A539" s="32" t="str">
        <f t="shared" si="1"/>
        <v>2/2026</v>
      </c>
      <c r="B539" s="25">
        <v>46064.34767304398</v>
      </c>
      <c r="C539" s="21" t="s">
        <v>77</v>
      </c>
      <c r="D539" s="21" t="s">
        <v>2167</v>
      </c>
      <c r="E539" s="26" t="s">
        <v>2168</v>
      </c>
      <c r="F539" s="21" t="s">
        <v>64</v>
      </c>
      <c r="G539" s="21" t="s">
        <v>2169</v>
      </c>
      <c r="H539" s="21" t="s">
        <v>20</v>
      </c>
      <c r="I539" s="21" t="s">
        <v>2170</v>
      </c>
      <c r="J539" s="21" t="s">
        <v>2171</v>
      </c>
      <c r="K539" s="21">
        <v>1.84825082100065E14</v>
      </c>
      <c r="L539" s="27"/>
    </row>
    <row r="540" ht="22.5" customHeight="1">
      <c r="A540" s="32" t="str">
        <f t="shared" si="1"/>
        <v>2/2026</v>
      </c>
      <c r="B540" s="25">
        <v>46064.609708495365</v>
      </c>
      <c r="C540" s="21" t="s">
        <v>214</v>
      </c>
      <c r="D540" s="21" t="s">
        <v>2172</v>
      </c>
      <c r="E540" s="26" t="s">
        <v>2173</v>
      </c>
      <c r="F540" s="21" t="s">
        <v>18</v>
      </c>
      <c r="G540" s="21" t="s">
        <v>1016</v>
      </c>
      <c r="H540" s="21" t="s">
        <v>36</v>
      </c>
      <c r="I540" s="21" t="s">
        <v>2174</v>
      </c>
      <c r="J540" s="21" t="s">
        <v>2175</v>
      </c>
      <c r="K540" s="21">
        <v>1.39823112300003E14</v>
      </c>
      <c r="L540" s="27"/>
    </row>
    <row r="541" ht="22.5" customHeight="1">
      <c r="A541" s="32" t="str">
        <f t="shared" si="1"/>
        <v>2/2026</v>
      </c>
      <c r="B541" s="25">
        <v>46064.70347570602</v>
      </c>
      <c r="C541" s="21" t="s">
        <v>1537</v>
      </c>
      <c r="D541" s="21" t="s">
        <v>2176</v>
      </c>
      <c r="E541" s="26" t="s">
        <v>2177</v>
      </c>
      <c r="F541" s="21" t="s">
        <v>1540</v>
      </c>
      <c r="G541" s="21" t="s">
        <v>161</v>
      </c>
      <c r="H541" s="21" t="s">
        <v>44</v>
      </c>
      <c r="I541" s="21" t="s">
        <v>2178</v>
      </c>
      <c r="J541" s="21" t="s">
        <v>2179</v>
      </c>
      <c r="K541" s="21">
        <v>1.84825082100261E14</v>
      </c>
      <c r="L541" s="27"/>
    </row>
    <row r="542" ht="22.5" customHeight="1">
      <c r="A542" s="32" t="str">
        <f t="shared" si="1"/>
        <v>2/2026</v>
      </c>
      <c r="B542" s="25">
        <v>46064.76468715278</v>
      </c>
      <c r="C542" s="21" t="s">
        <v>32</v>
      </c>
      <c r="D542" s="21" t="s">
        <v>2180</v>
      </c>
      <c r="E542" s="26" t="s">
        <v>2181</v>
      </c>
      <c r="F542" s="21" t="s">
        <v>18</v>
      </c>
      <c r="G542" s="21" t="s">
        <v>2144</v>
      </c>
      <c r="H542" s="21" t="s">
        <v>36</v>
      </c>
      <c r="I542" s="21" t="s">
        <v>2182</v>
      </c>
      <c r="J542" s="21" t="s">
        <v>199</v>
      </c>
      <c r="K542" s="21">
        <v>8.9282104290011E14</v>
      </c>
      <c r="L542" s="27"/>
    </row>
    <row r="543" ht="22.5" customHeight="1">
      <c r="A543" s="32" t="str">
        <f t="shared" si="1"/>
        <v>2/2026</v>
      </c>
      <c r="B543" s="25">
        <v>46064.76673732639</v>
      </c>
      <c r="C543" s="21" t="s">
        <v>32</v>
      </c>
      <c r="D543" s="21" t="s">
        <v>2183</v>
      </c>
      <c r="E543" s="26" t="s">
        <v>2184</v>
      </c>
      <c r="F543" s="21" t="s">
        <v>18</v>
      </c>
      <c r="G543" s="21" t="s">
        <v>2185</v>
      </c>
      <c r="H543" s="21" t="s">
        <v>36</v>
      </c>
      <c r="I543" s="21" t="s">
        <v>2186</v>
      </c>
      <c r="J543" s="21" t="s">
        <v>199</v>
      </c>
      <c r="K543" s="21">
        <v>1.39824092700519E14</v>
      </c>
      <c r="L543" s="27"/>
    </row>
    <row r="544" ht="22.5" customHeight="1">
      <c r="A544" s="32" t="str">
        <f t="shared" si="1"/>
        <v>2/2026</v>
      </c>
      <c r="B544" s="25">
        <v>46064.79198299769</v>
      </c>
      <c r="C544" s="21" t="s">
        <v>123</v>
      </c>
      <c r="D544" s="21" t="s">
        <v>2187</v>
      </c>
      <c r="E544" s="26" t="s">
        <v>2188</v>
      </c>
      <c r="F544" s="21" t="s">
        <v>18</v>
      </c>
      <c r="G544" s="21" t="s">
        <v>229</v>
      </c>
      <c r="H544" s="21" t="s">
        <v>36</v>
      </c>
      <c r="I544" s="21" t="s">
        <v>2189</v>
      </c>
      <c r="J544" s="21" t="s">
        <v>2190</v>
      </c>
      <c r="K544" s="21">
        <v>1.19824092800263E14</v>
      </c>
      <c r="L544" s="27"/>
    </row>
    <row r="545" ht="22.5" customHeight="1">
      <c r="A545" s="32" t="str">
        <f t="shared" si="1"/>
        <v>2/2026</v>
      </c>
      <c r="B545" s="25">
        <v>46064.872741886575</v>
      </c>
      <c r="C545" s="21" t="s">
        <v>22</v>
      </c>
      <c r="D545" s="21" t="s">
        <v>2191</v>
      </c>
      <c r="E545" s="26" t="s">
        <v>2192</v>
      </c>
      <c r="F545" s="21" t="s">
        <v>18</v>
      </c>
      <c r="G545" s="21" t="s">
        <v>1062</v>
      </c>
      <c r="H545" s="21" t="s">
        <v>20</v>
      </c>
      <c r="I545" s="21" t="s">
        <v>2193</v>
      </c>
      <c r="J545" s="21" t="s">
        <v>2194</v>
      </c>
      <c r="K545" s="21">
        <v>1.85825082200018E14</v>
      </c>
      <c r="L545" s="27"/>
    </row>
    <row r="546" ht="22.5" customHeight="1">
      <c r="A546" s="32" t="str">
        <f t="shared" si="1"/>
        <v>2/2026</v>
      </c>
      <c r="B546" s="25">
        <v>46065.36069215278</v>
      </c>
      <c r="C546" s="21" t="s">
        <v>1454</v>
      </c>
      <c r="D546" s="21" t="s">
        <v>2195</v>
      </c>
      <c r="E546" s="26" t="s">
        <v>2196</v>
      </c>
      <c r="F546" s="21" t="s">
        <v>458</v>
      </c>
      <c r="G546" s="21" t="s">
        <v>1603</v>
      </c>
      <c r="H546" s="21" t="s">
        <v>44</v>
      </c>
      <c r="I546" s="21" t="s">
        <v>2197</v>
      </c>
      <c r="J546" s="21" t="s">
        <v>2198</v>
      </c>
      <c r="K546" s="21">
        <v>1.85825082200101E14</v>
      </c>
      <c r="L546" s="27"/>
    </row>
    <row r="547" ht="22.5" customHeight="1">
      <c r="A547" s="32" t="str">
        <f t="shared" si="1"/>
        <v>2/2026</v>
      </c>
      <c r="B547" s="25">
        <v>46065.36222415509</v>
      </c>
      <c r="C547" s="21" t="s">
        <v>1454</v>
      </c>
      <c r="D547" s="21" t="s">
        <v>2195</v>
      </c>
      <c r="E547" s="26" t="s">
        <v>2196</v>
      </c>
      <c r="F547" s="21" t="s">
        <v>458</v>
      </c>
      <c r="G547" s="21" t="s">
        <v>2199</v>
      </c>
      <c r="H547" s="21" t="s">
        <v>44</v>
      </c>
      <c r="I547" s="21" t="s">
        <v>2200</v>
      </c>
      <c r="J547" s="21" t="s">
        <v>2201</v>
      </c>
      <c r="K547" s="21">
        <v>1.84825082100163E14</v>
      </c>
      <c r="L547" s="27"/>
    </row>
    <row r="548" ht="22.5" customHeight="1">
      <c r="A548" s="32" t="str">
        <f t="shared" si="1"/>
        <v>2/2026</v>
      </c>
      <c r="B548" s="25">
        <v>46065.531720196755</v>
      </c>
      <c r="C548" s="21" t="s">
        <v>1890</v>
      </c>
      <c r="D548" s="21" t="s">
        <v>2202</v>
      </c>
      <c r="E548" s="26" t="s">
        <v>2203</v>
      </c>
      <c r="F548" s="21" t="s">
        <v>1892</v>
      </c>
      <c r="G548" s="21" t="s">
        <v>2204</v>
      </c>
      <c r="H548" s="21" t="s">
        <v>36</v>
      </c>
      <c r="I548" s="21" t="s">
        <v>2205</v>
      </c>
      <c r="J548" s="21" t="s">
        <v>2206</v>
      </c>
      <c r="K548" s="21">
        <v>1.39823112300325E14</v>
      </c>
      <c r="L548" s="27"/>
    </row>
    <row r="549" ht="22.5" customHeight="1">
      <c r="A549" s="32" t="str">
        <f t="shared" si="1"/>
        <v>2/2026</v>
      </c>
      <c r="B549" s="25">
        <v>46065.69044535879</v>
      </c>
      <c r="C549" s="21" t="s">
        <v>2207</v>
      </c>
      <c r="D549" s="34" t="s">
        <v>2208</v>
      </c>
      <c r="E549" s="26" t="s">
        <v>2209</v>
      </c>
      <c r="F549" s="21" t="s">
        <v>290</v>
      </c>
      <c r="G549" s="21" t="s">
        <v>1062</v>
      </c>
      <c r="H549" s="21" t="s">
        <v>44</v>
      </c>
      <c r="I549" s="30" t="s">
        <v>2210</v>
      </c>
      <c r="J549" s="21" t="s">
        <v>2211</v>
      </c>
      <c r="K549" s="21">
        <v>1.8585082200011E13</v>
      </c>
      <c r="L549" s="27"/>
    </row>
    <row r="550" ht="22.5" customHeight="1">
      <c r="A550" s="32" t="str">
        <f t="shared" si="1"/>
        <v>2/2026</v>
      </c>
      <c r="B550" s="25">
        <v>46065.71296386574</v>
      </c>
      <c r="C550" s="21" t="s">
        <v>1181</v>
      </c>
      <c r="D550" s="21" t="s">
        <v>2212</v>
      </c>
      <c r="E550" s="21">
        <v>9.3451746E8</v>
      </c>
      <c r="F550" s="21" t="s">
        <v>18</v>
      </c>
      <c r="G550" s="21" t="s">
        <v>1218</v>
      </c>
      <c r="H550" s="21" t="s">
        <v>36</v>
      </c>
      <c r="I550" s="30" t="s">
        <v>2213</v>
      </c>
      <c r="J550" s="21" t="s">
        <v>417</v>
      </c>
      <c r="K550" s="21">
        <v>1.39822120800385E14</v>
      </c>
      <c r="L550" s="27"/>
    </row>
    <row r="551" ht="22.5" customHeight="1">
      <c r="A551" s="32" t="str">
        <f t="shared" si="1"/>
        <v>2/2026</v>
      </c>
      <c r="B551" s="25">
        <v>46065.77057765046</v>
      </c>
      <c r="C551" s="21" t="s">
        <v>169</v>
      </c>
      <c r="D551" s="21" t="s">
        <v>2214</v>
      </c>
      <c r="E551" s="26" t="s">
        <v>2215</v>
      </c>
      <c r="F551" s="21" t="s">
        <v>404</v>
      </c>
      <c r="G551" s="21" t="s">
        <v>784</v>
      </c>
      <c r="H551" s="21" t="s">
        <v>36</v>
      </c>
      <c r="I551" s="21" t="s">
        <v>2216</v>
      </c>
      <c r="J551" s="21" t="s">
        <v>2217</v>
      </c>
      <c r="K551" s="21">
        <v>1.39824092700053E14</v>
      </c>
      <c r="L551" s="27"/>
    </row>
    <row r="552" ht="22.5" customHeight="1">
      <c r="A552" s="32" t="str">
        <f t="shared" si="1"/>
        <v>2/2026</v>
      </c>
      <c r="B552" s="25">
        <v>46065.79964203703</v>
      </c>
      <c r="C552" s="21" t="s">
        <v>408</v>
      </c>
      <c r="D552" s="21" t="s">
        <v>1041</v>
      </c>
      <c r="E552" s="26" t="s">
        <v>2218</v>
      </c>
      <c r="F552" s="21" t="s">
        <v>118</v>
      </c>
      <c r="G552" s="21" t="s">
        <v>250</v>
      </c>
      <c r="H552" s="21" t="s">
        <v>36</v>
      </c>
      <c r="I552" s="21" t="s">
        <v>2219</v>
      </c>
      <c r="J552" s="21" t="s">
        <v>882</v>
      </c>
      <c r="K552" s="21">
        <v>1.3982212080022E14</v>
      </c>
      <c r="L552" s="27"/>
    </row>
    <row r="553" ht="22.5" customHeight="1">
      <c r="A553" s="32" t="str">
        <f t="shared" si="1"/>
        <v>2/2026</v>
      </c>
      <c r="B553" s="25">
        <v>46065.93879212963</v>
      </c>
      <c r="C553" s="21" t="s">
        <v>56</v>
      </c>
      <c r="D553" s="21" t="s">
        <v>2220</v>
      </c>
      <c r="E553" s="26" t="s">
        <v>2221</v>
      </c>
      <c r="F553" s="21" t="s">
        <v>18</v>
      </c>
      <c r="G553" s="21">
        <v>5676.0</v>
      </c>
      <c r="H553" s="21" t="s">
        <v>20</v>
      </c>
      <c r="I553" s="30" t="s">
        <v>2222</v>
      </c>
      <c r="J553" s="21" t="s">
        <v>55</v>
      </c>
      <c r="K553" s="21">
        <v>1.84825082100109E14</v>
      </c>
      <c r="L553" s="27"/>
    </row>
    <row r="554" ht="22.5" customHeight="1">
      <c r="A554" s="32" t="str">
        <f t="shared" si="1"/>
        <v>2/2026</v>
      </c>
      <c r="B554" s="25">
        <v>46065.94247722223</v>
      </c>
      <c r="C554" s="21" t="s">
        <v>56</v>
      </c>
      <c r="D554" s="21" t="s">
        <v>2057</v>
      </c>
      <c r="E554" s="26" t="s">
        <v>2058</v>
      </c>
      <c r="F554" s="21" t="s">
        <v>18</v>
      </c>
      <c r="G554" s="21">
        <v>5840.0</v>
      </c>
      <c r="H554" s="21" t="s">
        <v>36</v>
      </c>
      <c r="I554" s="21" t="s">
        <v>2223</v>
      </c>
      <c r="J554" s="21" t="s">
        <v>55</v>
      </c>
      <c r="K554" s="21">
        <v>1.3892409270027E14</v>
      </c>
      <c r="L554" s="27"/>
    </row>
    <row r="555" ht="22.5" customHeight="1">
      <c r="A555" s="32" t="str">
        <f t="shared" si="1"/>
        <v>2/2026</v>
      </c>
      <c r="B555" s="25">
        <v>46065.944504513885</v>
      </c>
      <c r="C555" s="21" t="s">
        <v>56</v>
      </c>
      <c r="D555" s="21" t="s">
        <v>262</v>
      </c>
      <c r="E555" s="26" t="s">
        <v>2224</v>
      </c>
      <c r="F555" s="21" t="s">
        <v>18</v>
      </c>
      <c r="G555" s="21">
        <v>5440.0</v>
      </c>
      <c r="H555" s="21" t="s">
        <v>36</v>
      </c>
      <c r="I555" s="30" t="s">
        <v>2225</v>
      </c>
      <c r="J555" s="21" t="s">
        <v>55</v>
      </c>
      <c r="K555" s="21">
        <v>1.18924062700099E14</v>
      </c>
      <c r="L555" s="27"/>
    </row>
    <row r="556" ht="22.5" customHeight="1">
      <c r="A556" s="32" t="str">
        <f t="shared" si="1"/>
        <v>2/2026</v>
      </c>
      <c r="B556" s="25">
        <v>46065.94710157407</v>
      </c>
      <c r="C556" s="21" t="s">
        <v>56</v>
      </c>
      <c r="D556" s="21" t="s">
        <v>490</v>
      </c>
      <c r="E556" s="26" t="s">
        <v>2226</v>
      </c>
      <c r="F556" s="21" t="s">
        <v>18</v>
      </c>
      <c r="G556" s="21" t="s">
        <v>1062</v>
      </c>
      <c r="H556" s="21" t="s">
        <v>44</v>
      </c>
      <c r="I556" s="21" t="s">
        <v>2227</v>
      </c>
      <c r="J556" s="21" t="s">
        <v>55</v>
      </c>
      <c r="K556" s="21">
        <v>1.8582508220009E14</v>
      </c>
      <c r="L556" s="27"/>
    </row>
    <row r="557" ht="22.5" customHeight="1">
      <c r="A557" s="32" t="str">
        <f t="shared" si="1"/>
        <v>2/2026</v>
      </c>
      <c r="B557" s="25">
        <v>46066.53777299769</v>
      </c>
      <c r="C557" s="21" t="s">
        <v>132</v>
      </c>
      <c r="D557" s="21" t="s">
        <v>2228</v>
      </c>
      <c r="E557" s="26" t="s">
        <v>2229</v>
      </c>
      <c r="F557" s="21" t="s">
        <v>18</v>
      </c>
      <c r="G557" s="21" t="s">
        <v>383</v>
      </c>
      <c r="H557" s="21" t="s">
        <v>36</v>
      </c>
      <c r="I557" s="21" t="s">
        <v>2230</v>
      </c>
      <c r="J557" s="21" t="s">
        <v>2231</v>
      </c>
      <c r="K557" s="21">
        <v>1.19823072500183E14</v>
      </c>
      <c r="L557" s="27"/>
      <c r="M557" s="15"/>
      <c r="N557" s="15"/>
      <c r="O557" s="15"/>
    </row>
    <row r="558" ht="22.5" customHeight="1">
      <c r="A558" s="32" t="str">
        <f t="shared" si="1"/>
        <v>2/2026</v>
      </c>
      <c r="B558" s="25">
        <v>46066.53975121528</v>
      </c>
      <c r="C558" s="21" t="s">
        <v>132</v>
      </c>
      <c r="D558" s="21" t="s">
        <v>2232</v>
      </c>
      <c r="E558" s="26" t="s">
        <v>2233</v>
      </c>
      <c r="F558" s="21" t="s">
        <v>18</v>
      </c>
      <c r="G558" s="21" t="s">
        <v>217</v>
      </c>
      <c r="H558" s="21" t="s">
        <v>44</v>
      </c>
      <c r="I558" s="21" t="s">
        <v>2234</v>
      </c>
      <c r="J558" s="21" t="s">
        <v>2235</v>
      </c>
      <c r="K558" s="21">
        <v>1.85825082200098E14</v>
      </c>
      <c r="L558" s="27"/>
      <c r="M558" s="15"/>
      <c r="N558" s="15"/>
      <c r="O558" s="15"/>
    </row>
    <row r="559" ht="22.5" customHeight="1">
      <c r="A559" s="32" t="str">
        <f t="shared" si="1"/>
        <v>2/2026</v>
      </c>
      <c r="B559" s="25">
        <v>46066.542872997685</v>
      </c>
      <c r="C559" s="21" t="s">
        <v>132</v>
      </c>
      <c r="D559" s="21" t="s">
        <v>2236</v>
      </c>
      <c r="E559" s="26" t="s">
        <v>2237</v>
      </c>
      <c r="F559" s="21" t="s">
        <v>18</v>
      </c>
      <c r="G559" s="21" t="s">
        <v>217</v>
      </c>
      <c r="H559" s="21" t="s">
        <v>20</v>
      </c>
      <c r="I559" s="21" t="s">
        <v>2238</v>
      </c>
      <c r="J559" s="21" t="s">
        <v>2239</v>
      </c>
      <c r="K559" s="21">
        <v>1.85825082200066E14</v>
      </c>
      <c r="L559" s="27"/>
      <c r="M559" s="15"/>
      <c r="N559" s="15"/>
      <c r="O559" s="15"/>
    </row>
    <row r="560" ht="22.5" customHeight="1">
      <c r="A560" s="32" t="str">
        <f t="shared" si="1"/>
        <v>2/2026</v>
      </c>
      <c r="B560" s="25">
        <v>46066.73328883102</v>
      </c>
      <c r="C560" s="21" t="s">
        <v>51</v>
      </c>
      <c r="D560" s="21" t="s">
        <v>595</v>
      </c>
      <c r="E560" s="26" t="s">
        <v>2240</v>
      </c>
      <c r="F560" s="21" t="s">
        <v>18</v>
      </c>
      <c r="G560" s="21" t="s">
        <v>161</v>
      </c>
      <c r="H560" s="21" t="s">
        <v>20</v>
      </c>
      <c r="I560" s="21" t="s">
        <v>2241</v>
      </c>
      <c r="J560" s="21" t="s">
        <v>771</v>
      </c>
      <c r="K560" s="21">
        <v>1.84825082100129E14</v>
      </c>
      <c r="L560" s="27"/>
      <c r="M560" s="15"/>
      <c r="N560" s="15"/>
      <c r="O560" s="15"/>
    </row>
    <row r="561" ht="22.5" customHeight="1">
      <c r="A561" s="32" t="str">
        <f t="shared" si="1"/>
        <v>2/2026</v>
      </c>
      <c r="B561" s="25">
        <v>46066.82035122685</v>
      </c>
      <c r="C561" s="21" t="s">
        <v>115</v>
      </c>
      <c r="D561" s="21" t="s">
        <v>2242</v>
      </c>
      <c r="E561" s="21" t="s">
        <v>2243</v>
      </c>
      <c r="F561" s="21" t="s">
        <v>118</v>
      </c>
      <c r="G561" s="21" t="s">
        <v>2244</v>
      </c>
      <c r="H561" s="21" t="s">
        <v>20</v>
      </c>
      <c r="I561" s="21" t="s">
        <v>2245</v>
      </c>
      <c r="J561" s="21" t="s">
        <v>2246</v>
      </c>
      <c r="K561" s="21">
        <v>1.85825082200134E14</v>
      </c>
      <c r="L561" s="27"/>
      <c r="M561" s="15"/>
      <c r="N561" s="15"/>
      <c r="O561" s="15"/>
    </row>
    <row r="562" ht="22.5" customHeight="1">
      <c r="A562" s="32" t="str">
        <f t="shared" si="1"/>
        <v>2/2026</v>
      </c>
      <c r="B562" s="25">
        <v>46066.82196912037</v>
      </c>
      <c r="C562" s="21" t="s">
        <v>115</v>
      </c>
      <c r="D562" s="21" t="s">
        <v>2247</v>
      </c>
      <c r="E562" s="26" t="s">
        <v>2248</v>
      </c>
      <c r="F562" s="21" t="s">
        <v>118</v>
      </c>
      <c r="G562" s="21" t="s">
        <v>1124</v>
      </c>
      <c r="H562" s="21" t="s">
        <v>141</v>
      </c>
      <c r="I562" s="21" t="s">
        <v>2249</v>
      </c>
      <c r="J562" s="21" t="s">
        <v>965</v>
      </c>
      <c r="K562" s="21" t="s">
        <v>122</v>
      </c>
      <c r="L562" s="27"/>
      <c r="M562" s="15"/>
      <c r="N562" s="15"/>
      <c r="O562" s="15"/>
    </row>
    <row r="563" ht="22.5" customHeight="1">
      <c r="A563" s="32" t="str">
        <f t="shared" si="1"/>
        <v>2/2026</v>
      </c>
      <c r="B563" s="25">
        <v>46066.82300553241</v>
      </c>
      <c r="C563" s="21" t="s">
        <v>115</v>
      </c>
      <c r="D563" s="21" t="s">
        <v>2250</v>
      </c>
      <c r="E563" s="26" t="s">
        <v>1853</v>
      </c>
      <c r="F563" s="21" t="s">
        <v>118</v>
      </c>
      <c r="G563" s="21" t="s">
        <v>2251</v>
      </c>
      <c r="H563" s="21" t="s">
        <v>141</v>
      </c>
      <c r="I563" s="29" t="s">
        <v>2252</v>
      </c>
      <c r="J563" s="21" t="s">
        <v>2253</v>
      </c>
      <c r="K563" s="21" t="s">
        <v>122</v>
      </c>
      <c r="L563" s="27"/>
      <c r="M563" s="15"/>
      <c r="N563" s="15"/>
      <c r="O563" s="15"/>
    </row>
    <row r="564" ht="22.5" customHeight="1">
      <c r="A564" s="32" t="str">
        <f t="shared" si="1"/>
        <v>2/2026</v>
      </c>
      <c r="B564" s="25">
        <v>46066.82552840278</v>
      </c>
      <c r="C564" s="21" t="s">
        <v>115</v>
      </c>
      <c r="D564" s="21" t="s">
        <v>2254</v>
      </c>
      <c r="E564" s="26" t="s">
        <v>2255</v>
      </c>
      <c r="F564" s="21" t="s">
        <v>118</v>
      </c>
      <c r="G564" s="21" t="s">
        <v>1287</v>
      </c>
      <c r="H564" s="21" t="s">
        <v>36</v>
      </c>
      <c r="I564" s="21" t="s">
        <v>2256</v>
      </c>
      <c r="J564" s="21" t="s">
        <v>965</v>
      </c>
      <c r="K564" s="21" t="s">
        <v>122</v>
      </c>
      <c r="L564" s="27"/>
      <c r="M564" s="15"/>
      <c r="N564" s="15"/>
      <c r="O564" s="15"/>
    </row>
    <row r="565" ht="22.5" customHeight="1">
      <c r="A565" s="32" t="str">
        <f t="shared" si="1"/>
        <v>2/2026</v>
      </c>
      <c r="B565" s="25">
        <v>46066.82684912037</v>
      </c>
      <c r="C565" s="21" t="s">
        <v>115</v>
      </c>
      <c r="D565" s="21" t="s">
        <v>2257</v>
      </c>
      <c r="E565" s="26" t="s">
        <v>2258</v>
      </c>
      <c r="F565" s="21" t="s">
        <v>118</v>
      </c>
      <c r="G565" s="21" t="s">
        <v>1287</v>
      </c>
      <c r="H565" s="21" t="s">
        <v>36</v>
      </c>
      <c r="I565" s="21" t="s">
        <v>2259</v>
      </c>
      <c r="J565" s="21" t="s">
        <v>965</v>
      </c>
      <c r="K565" s="21" t="s">
        <v>122</v>
      </c>
      <c r="L565" s="27"/>
      <c r="M565" s="15"/>
      <c r="N565" s="15"/>
      <c r="O565" s="15"/>
    </row>
    <row r="566" ht="22.5" customHeight="1">
      <c r="A566" s="32" t="str">
        <f t="shared" si="1"/>
        <v>2/2026</v>
      </c>
      <c r="B566" s="25">
        <v>46066.827986944445</v>
      </c>
      <c r="C566" s="21" t="s">
        <v>115</v>
      </c>
      <c r="D566" s="21" t="s">
        <v>2260</v>
      </c>
      <c r="E566" s="26" t="s">
        <v>2261</v>
      </c>
      <c r="F566" s="21" t="s">
        <v>118</v>
      </c>
      <c r="G566" s="21" t="s">
        <v>178</v>
      </c>
      <c r="H566" s="21" t="s">
        <v>36</v>
      </c>
      <c r="I566" s="21" t="s">
        <v>2262</v>
      </c>
      <c r="J566" s="21" t="s">
        <v>2263</v>
      </c>
      <c r="K566" s="21" t="s">
        <v>122</v>
      </c>
      <c r="L566" s="27"/>
      <c r="M566" s="15"/>
      <c r="N566" s="15"/>
      <c r="O566" s="15"/>
    </row>
    <row r="567" ht="22.5" customHeight="1">
      <c r="A567" s="32" t="str">
        <f t="shared" si="1"/>
        <v>2/2026</v>
      </c>
      <c r="B567" s="25">
        <v>46066.8291527199</v>
      </c>
      <c r="C567" s="21" t="s">
        <v>115</v>
      </c>
      <c r="D567" s="21" t="s">
        <v>2264</v>
      </c>
      <c r="E567" s="26" t="s">
        <v>2265</v>
      </c>
      <c r="F567" s="21" t="s">
        <v>118</v>
      </c>
      <c r="G567" s="21" t="s">
        <v>1124</v>
      </c>
      <c r="H567" s="21" t="s">
        <v>36</v>
      </c>
      <c r="I567" s="21" t="s">
        <v>2266</v>
      </c>
      <c r="J567" s="21" t="s">
        <v>965</v>
      </c>
      <c r="K567" s="21" t="s">
        <v>122</v>
      </c>
      <c r="L567" s="27"/>
      <c r="M567" s="15"/>
      <c r="N567" s="15"/>
      <c r="O567" s="15"/>
    </row>
    <row r="568" ht="22.5" customHeight="1">
      <c r="A568" s="32" t="str">
        <f t="shared" si="1"/>
        <v>2/2026</v>
      </c>
      <c r="B568" s="25">
        <v>46067.35488663195</v>
      </c>
      <c r="C568" s="21" t="s">
        <v>1411</v>
      </c>
      <c r="D568" s="21" t="s">
        <v>2267</v>
      </c>
      <c r="E568" s="26" t="s">
        <v>2268</v>
      </c>
      <c r="F568" s="21" t="s">
        <v>1414</v>
      </c>
      <c r="G568" s="21" t="s">
        <v>2269</v>
      </c>
      <c r="H568" s="21" t="s">
        <v>44</v>
      </c>
      <c r="I568" s="21" t="s">
        <v>2270</v>
      </c>
      <c r="J568" s="21" t="s">
        <v>2271</v>
      </c>
      <c r="K568" s="21">
        <v>1.85825082200033E14</v>
      </c>
      <c r="L568" s="27"/>
      <c r="M568" s="15"/>
      <c r="N568" s="15"/>
      <c r="O568" s="15"/>
    </row>
    <row r="569" ht="22.5" customHeight="1">
      <c r="A569" s="32" t="str">
        <f t="shared" si="1"/>
        <v>2/2026</v>
      </c>
      <c r="B569" s="25">
        <v>46067.54994048611</v>
      </c>
      <c r="C569" s="21" t="s">
        <v>1181</v>
      </c>
      <c r="D569" s="21" t="s">
        <v>2272</v>
      </c>
      <c r="E569" s="26" t="s">
        <v>2273</v>
      </c>
      <c r="F569" s="21" t="s">
        <v>18</v>
      </c>
      <c r="G569" s="21" t="s">
        <v>1505</v>
      </c>
      <c r="H569" s="21" t="s">
        <v>36</v>
      </c>
      <c r="I569" s="30" t="s">
        <v>2274</v>
      </c>
      <c r="J569" s="21" t="s">
        <v>2275</v>
      </c>
      <c r="K569" s="21">
        <v>1.3982410280043E13</v>
      </c>
      <c r="L569" s="27"/>
      <c r="M569" s="15"/>
      <c r="N569" s="15"/>
      <c r="O569" s="15"/>
    </row>
    <row r="570" ht="22.5" customHeight="1">
      <c r="A570" s="32" t="str">
        <f t="shared" si="1"/>
        <v>2/2026</v>
      </c>
      <c r="B570" s="25">
        <v>46067.568309317125</v>
      </c>
      <c r="C570" s="21" t="s">
        <v>39</v>
      </c>
      <c r="D570" s="21" t="s">
        <v>2276</v>
      </c>
      <c r="E570" s="26" t="s">
        <v>2277</v>
      </c>
      <c r="F570" s="21" t="s">
        <v>42</v>
      </c>
      <c r="G570" s="21" t="s">
        <v>1415</v>
      </c>
      <c r="H570" s="21" t="s">
        <v>36</v>
      </c>
      <c r="I570" s="21" t="s">
        <v>2278</v>
      </c>
      <c r="J570" s="21" t="s">
        <v>2131</v>
      </c>
      <c r="K570" s="21">
        <v>1.39823091200292E14</v>
      </c>
      <c r="L570" s="27"/>
      <c r="M570" s="15"/>
      <c r="N570" s="15"/>
      <c r="O570" s="15"/>
    </row>
    <row r="571" ht="22.5" customHeight="1">
      <c r="A571" s="32" t="str">
        <f t="shared" si="1"/>
        <v>2/2026</v>
      </c>
      <c r="B571" s="25">
        <v>46067.70390001158</v>
      </c>
      <c r="C571" s="21" t="s">
        <v>1181</v>
      </c>
      <c r="D571" s="21" t="s">
        <v>2279</v>
      </c>
      <c r="E571" s="21" t="s">
        <v>2280</v>
      </c>
      <c r="F571" s="21" t="s">
        <v>18</v>
      </c>
      <c r="G571" s="21" t="s">
        <v>1218</v>
      </c>
      <c r="H571" s="21" t="s">
        <v>141</v>
      </c>
      <c r="I571" s="29" t="s">
        <v>2281</v>
      </c>
      <c r="J571" s="21" t="s">
        <v>2163</v>
      </c>
      <c r="K571" s="21" t="s">
        <v>1221</v>
      </c>
      <c r="L571" s="27"/>
      <c r="M571" s="15"/>
      <c r="N571" s="15"/>
      <c r="O571" s="15"/>
    </row>
    <row r="572" ht="22.5" customHeight="1">
      <c r="A572" s="32" t="str">
        <f t="shared" si="1"/>
        <v>2/2026</v>
      </c>
      <c r="B572" s="25">
        <v>46069.84907802084</v>
      </c>
      <c r="C572" s="21" t="s">
        <v>39</v>
      </c>
      <c r="D572" s="21" t="s">
        <v>2282</v>
      </c>
      <c r="E572" s="26" t="s">
        <v>2283</v>
      </c>
      <c r="F572" s="21" t="s">
        <v>42</v>
      </c>
      <c r="G572" s="21" t="s">
        <v>1415</v>
      </c>
      <c r="H572" s="21" t="s">
        <v>36</v>
      </c>
      <c r="I572" s="21" t="s">
        <v>2284</v>
      </c>
      <c r="J572" s="21" t="s">
        <v>2285</v>
      </c>
      <c r="K572" s="21">
        <v>1.39824091100492E14</v>
      </c>
      <c r="L572" s="27"/>
      <c r="M572" s="15"/>
      <c r="N572" s="15"/>
      <c r="O572" s="15"/>
    </row>
    <row r="573" ht="22.5" customHeight="1">
      <c r="A573" s="32" t="str">
        <f t="shared" si="1"/>
        <v>2/2026</v>
      </c>
      <c r="B573" s="25">
        <v>46069.99344449074</v>
      </c>
      <c r="C573" s="21" t="s">
        <v>56</v>
      </c>
      <c r="D573" s="21" t="s">
        <v>2286</v>
      </c>
      <c r="E573" s="26" t="s">
        <v>2287</v>
      </c>
      <c r="F573" s="21" t="s">
        <v>18</v>
      </c>
      <c r="G573" s="21">
        <v>5840.0</v>
      </c>
      <c r="H573" s="21" t="s">
        <v>36</v>
      </c>
      <c r="I573" s="21" t="s">
        <v>2288</v>
      </c>
      <c r="J573" s="21" t="s">
        <v>55</v>
      </c>
      <c r="K573" s="21">
        <v>1.39824092700185E14</v>
      </c>
      <c r="L573" s="27"/>
      <c r="M573" s="15"/>
      <c r="N573" s="15"/>
      <c r="O573" s="15"/>
    </row>
    <row r="574" ht="22.5" customHeight="1">
      <c r="A574" s="32" t="str">
        <f t="shared" si="1"/>
        <v>2/2026</v>
      </c>
      <c r="B574" s="25">
        <v>46069.995654212966</v>
      </c>
      <c r="C574" s="21" t="s">
        <v>56</v>
      </c>
      <c r="D574" s="21" t="s">
        <v>2289</v>
      </c>
      <c r="E574" s="26" t="s">
        <v>2290</v>
      </c>
      <c r="F574" s="21" t="s">
        <v>18</v>
      </c>
      <c r="G574" s="21">
        <v>5676.0</v>
      </c>
      <c r="H574" s="21" t="s">
        <v>20</v>
      </c>
      <c r="I574" s="21" t="s">
        <v>2291</v>
      </c>
      <c r="J574" s="21" t="s">
        <v>55</v>
      </c>
      <c r="K574" s="21">
        <v>1.84825082100148E14</v>
      </c>
      <c r="L574" s="27"/>
      <c r="M574" s="15"/>
      <c r="N574" s="15"/>
      <c r="O574" s="15"/>
    </row>
    <row r="575" ht="22.5" customHeight="1">
      <c r="A575" s="32" t="str">
        <f t="shared" si="1"/>
        <v>2/2026</v>
      </c>
      <c r="B575" s="25">
        <v>46076.38070760417</v>
      </c>
      <c r="C575" s="21" t="s">
        <v>2292</v>
      </c>
      <c r="D575" s="21" t="s">
        <v>2293</v>
      </c>
      <c r="E575" s="26" t="s">
        <v>2294</v>
      </c>
      <c r="F575" s="21" t="s">
        <v>249</v>
      </c>
      <c r="G575" s="21" t="s">
        <v>2295</v>
      </c>
      <c r="H575" s="21" t="s">
        <v>44</v>
      </c>
      <c r="I575" s="21" t="s">
        <v>2296</v>
      </c>
      <c r="J575" s="21" t="s">
        <v>2297</v>
      </c>
      <c r="K575" s="21">
        <v>1.84825082100264E14</v>
      </c>
      <c r="L575" s="27"/>
      <c r="M575" s="15"/>
      <c r="N575" s="15"/>
      <c r="O575" s="15"/>
    </row>
    <row r="576" ht="22.5" customHeight="1">
      <c r="A576" s="32" t="str">
        <f t="shared" si="1"/>
        <v>2/2026</v>
      </c>
      <c r="B576" s="25">
        <v>46076.503238564816</v>
      </c>
      <c r="C576" s="21" t="s">
        <v>132</v>
      </c>
      <c r="D576" s="21" t="s">
        <v>2298</v>
      </c>
      <c r="E576" s="26" t="s">
        <v>2299</v>
      </c>
      <c r="F576" s="21" t="s">
        <v>18</v>
      </c>
      <c r="G576" s="21" t="s">
        <v>161</v>
      </c>
      <c r="H576" s="21" t="s">
        <v>20</v>
      </c>
      <c r="I576" s="21" t="s">
        <v>2300</v>
      </c>
      <c r="J576" s="21" t="s">
        <v>2301</v>
      </c>
      <c r="K576" s="21">
        <v>1.84825082100196E14</v>
      </c>
      <c r="L576" s="27"/>
      <c r="M576" s="15"/>
      <c r="N576" s="15"/>
      <c r="O576" s="15"/>
    </row>
    <row r="577" ht="22.5" customHeight="1">
      <c r="A577" s="32" t="str">
        <f t="shared" si="1"/>
        <v>2/2026</v>
      </c>
      <c r="B577" s="25">
        <v>46076.54040414352</v>
      </c>
      <c r="C577" s="21" t="s">
        <v>618</v>
      </c>
      <c r="D577" s="21" t="s">
        <v>2302</v>
      </c>
      <c r="E577" s="26" t="s">
        <v>2303</v>
      </c>
      <c r="F577" s="21" t="s">
        <v>118</v>
      </c>
      <c r="G577" s="21" t="s">
        <v>2304</v>
      </c>
      <c r="H577" s="21" t="s">
        <v>36</v>
      </c>
      <c r="I577" s="21" t="s">
        <v>2305</v>
      </c>
      <c r="J577" s="21" t="s">
        <v>2306</v>
      </c>
      <c r="K577" s="21">
        <v>1.39824092700057E14</v>
      </c>
      <c r="L577" s="27"/>
      <c r="M577" s="15"/>
      <c r="N577" s="15"/>
      <c r="O577" s="15"/>
    </row>
    <row r="578" ht="22.5" customHeight="1">
      <c r="A578" s="32" t="str">
        <f t="shared" si="1"/>
        <v>2/2026</v>
      </c>
      <c r="B578" s="25">
        <v>46076.76192793981</v>
      </c>
      <c r="C578" s="21" t="s">
        <v>115</v>
      </c>
      <c r="D578" s="21" t="s">
        <v>2120</v>
      </c>
      <c r="E578" s="26" t="s">
        <v>2121</v>
      </c>
      <c r="F578" s="21" t="s">
        <v>118</v>
      </c>
      <c r="G578" s="21" t="s">
        <v>2307</v>
      </c>
      <c r="H578" s="21" t="s">
        <v>141</v>
      </c>
      <c r="I578" s="21" t="s">
        <v>2308</v>
      </c>
      <c r="J578" s="21" t="s">
        <v>1273</v>
      </c>
      <c r="K578" s="21" t="s">
        <v>122</v>
      </c>
      <c r="L578" s="27"/>
      <c r="M578" s="15"/>
      <c r="N578" s="15"/>
      <c r="O578" s="15"/>
    </row>
    <row r="579" ht="22.5" customHeight="1">
      <c r="A579" s="32" t="str">
        <f t="shared" si="1"/>
        <v>2/2026</v>
      </c>
      <c r="B579" s="25">
        <v>46076.76461991898</v>
      </c>
      <c r="C579" s="21" t="s">
        <v>115</v>
      </c>
      <c r="D579" s="21" t="s">
        <v>2309</v>
      </c>
      <c r="E579" s="26" t="s">
        <v>1914</v>
      </c>
      <c r="F579" s="21" t="s">
        <v>118</v>
      </c>
      <c r="G579" s="21" t="s">
        <v>2310</v>
      </c>
      <c r="H579" s="21" t="s">
        <v>141</v>
      </c>
      <c r="I579" s="21" t="s">
        <v>2311</v>
      </c>
      <c r="J579" s="21" t="s">
        <v>1273</v>
      </c>
      <c r="K579" s="21" t="s">
        <v>122</v>
      </c>
      <c r="L579" s="27"/>
      <c r="M579" s="15"/>
      <c r="N579" s="15"/>
      <c r="O579" s="15"/>
    </row>
    <row r="580" ht="22.5" customHeight="1">
      <c r="A580" s="32" t="str">
        <f t="shared" si="1"/>
        <v>2/2026</v>
      </c>
      <c r="B580" s="25">
        <v>46076.76894363426</v>
      </c>
      <c r="C580" s="21" t="s">
        <v>115</v>
      </c>
      <c r="D580" s="21" t="s">
        <v>2312</v>
      </c>
      <c r="E580" s="26" t="s">
        <v>1994</v>
      </c>
      <c r="F580" s="21" t="s">
        <v>74</v>
      </c>
      <c r="G580" s="21" t="s">
        <v>2310</v>
      </c>
      <c r="H580" s="21" t="s">
        <v>141</v>
      </c>
      <c r="I580" s="21" t="s">
        <v>2313</v>
      </c>
      <c r="J580" s="21" t="s">
        <v>2314</v>
      </c>
      <c r="K580" s="21" t="s">
        <v>122</v>
      </c>
      <c r="L580" s="27"/>
      <c r="M580" s="15"/>
      <c r="N580" s="15"/>
      <c r="O580" s="15"/>
    </row>
    <row r="581" ht="22.5" customHeight="1">
      <c r="A581" s="32" t="str">
        <f t="shared" si="1"/>
        <v>2/2026</v>
      </c>
      <c r="B581" s="25">
        <v>46076.771637233796</v>
      </c>
      <c r="C581" s="21" t="s">
        <v>115</v>
      </c>
      <c r="D581" s="21" t="s">
        <v>2315</v>
      </c>
      <c r="E581" s="26" t="s">
        <v>2316</v>
      </c>
      <c r="F581" s="21" t="s">
        <v>118</v>
      </c>
      <c r="G581" s="21" t="s">
        <v>1124</v>
      </c>
      <c r="H581" s="21" t="s">
        <v>141</v>
      </c>
      <c r="I581" s="21" t="s">
        <v>2317</v>
      </c>
      <c r="J581" s="21" t="s">
        <v>1273</v>
      </c>
      <c r="K581" s="21" t="s">
        <v>122</v>
      </c>
      <c r="L581" s="27"/>
      <c r="M581" s="15"/>
      <c r="N581" s="15"/>
      <c r="O581" s="15"/>
    </row>
    <row r="582" ht="22.5" customHeight="1">
      <c r="A582" s="32" t="str">
        <f t="shared" si="1"/>
        <v>2/2026</v>
      </c>
      <c r="B582" s="25">
        <v>46076.77428868056</v>
      </c>
      <c r="C582" s="21" t="s">
        <v>115</v>
      </c>
      <c r="D582" s="21" t="s">
        <v>127</v>
      </c>
      <c r="E582" s="26" t="s">
        <v>2318</v>
      </c>
      <c r="F582" s="21" t="s">
        <v>118</v>
      </c>
      <c r="G582" s="21" t="s">
        <v>1124</v>
      </c>
      <c r="H582" s="21" t="s">
        <v>36</v>
      </c>
      <c r="I582" s="21" t="s">
        <v>2319</v>
      </c>
      <c r="J582" s="21" t="s">
        <v>965</v>
      </c>
      <c r="K582" s="21" t="s">
        <v>122</v>
      </c>
      <c r="L582" s="27"/>
      <c r="M582" s="15"/>
      <c r="N582" s="15"/>
      <c r="O582" s="15"/>
    </row>
    <row r="583" ht="22.5" customHeight="1">
      <c r="A583" s="32" t="str">
        <f t="shared" si="1"/>
        <v>2/2026</v>
      </c>
      <c r="B583" s="25">
        <v>46076.78786237269</v>
      </c>
      <c r="C583" s="21" t="s">
        <v>1181</v>
      </c>
      <c r="D583" s="21" t="s">
        <v>2320</v>
      </c>
      <c r="E583" s="26" t="s">
        <v>2321</v>
      </c>
      <c r="F583" s="21" t="s">
        <v>18</v>
      </c>
      <c r="G583" s="21" t="s">
        <v>1505</v>
      </c>
      <c r="H583" s="21" t="s">
        <v>36</v>
      </c>
      <c r="I583" s="21" t="s">
        <v>2322</v>
      </c>
      <c r="J583" s="21" t="s">
        <v>2163</v>
      </c>
      <c r="K583" s="21">
        <v>8.92824061500364E14</v>
      </c>
      <c r="L583" s="27"/>
      <c r="M583" s="15"/>
      <c r="N583" s="15"/>
      <c r="O583" s="15"/>
    </row>
    <row r="584" ht="22.5" customHeight="1">
      <c r="A584" s="32" t="str">
        <f t="shared" si="1"/>
        <v>2/2026</v>
      </c>
      <c r="B584" s="25">
        <v>46076.9917430787</v>
      </c>
      <c r="C584" s="21" t="s">
        <v>22</v>
      </c>
      <c r="D584" s="21" t="s">
        <v>2323</v>
      </c>
      <c r="E584" s="26" t="s">
        <v>2324</v>
      </c>
      <c r="F584" s="21" t="s">
        <v>18</v>
      </c>
      <c r="G584" s="21" t="s">
        <v>250</v>
      </c>
      <c r="H584" s="21" t="s">
        <v>36</v>
      </c>
      <c r="I584" s="21" t="s">
        <v>2325</v>
      </c>
      <c r="J584" s="21" t="s">
        <v>2326</v>
      </c>
      <c r="K584" s="21">
        <v>1.39822120800212E14</v>
      </c>
      <c r="L584" s="27"/>
      <c r="M584" s="15"/>
      <c r="N584" s="15"/>
      <c r="O584" s="15"/>
    </row>
    <row r="585" ht="22.5" customHeight="1">
      <c r="A585" s="32" t="str">
        <f t="shared" si="1"/>
        <v>2/2026</v>
      </c>
      <c r="B585" s="25">
        <v>46077.41703890046</v>
      </c>
      <c r="C585" s="21" t="s">
        <v>169</v>
      </c>
      <c r="D585" s="21" t="s">
        <v>2327</v>
      </c>
      <c r="E585" s="26" t="s">
        <v>2328</v>
      </c>
      <c r="F585" s="21" t="s">
        <v>118</v>
      </c>
      <c r="G585" s="21" t="s">
        <v>784</v>
      </c>
      <c r="H585" s="21" t="s">
        <v>36</v>
      </c>
      <c r="I585" s="21" t="s">
        <v>2329</v>
      </c>
      <c r="J585" s="21" t="s">
        <v>2330</v>
      </c>
      <c r="K585" s="21" t="s">
        <v>2331</v>
      </c>
      <c r="L585" s="27"/>
      <c r="M585" s="15"/>
      <c r="N585" s="15"/>
      <c r="O585" s="15"/>
    </row>
    <row r="586" ht="22.5" customHeight="1">
      <c r="A586" s="32" t="str">
        <f t="shared" si="1"/>
        <v>2/2026</v>
      </c>
      <c r="B586" s="25">
        <v>46077.741435289354</v>
      </c>
      <c r="C586" s="21" t="s">
        <v>115</v>
      </c>
      <c r="D586" s="21" t="s">
        <v>2332</v>
      </c>
      <c r="E586" s="26" t="s">
        <v>2333</v>
      </c>
      <c r="F586" s="21" t="s">
        <v>118</v>
      </c>
      <c r="G586" s="21" t="s">
        <v>1124</v>
      </c>
      <c r="H586" s="21" t="s">
        <v>141</v>
      </c>
      <c r="I586" s="21" t="s">
        <v>2334</v>
      </c>
      <c r="J586" s="21" t="s">
        <v>2335</v>
      </c>
      <c r="K586" s="21" t="s">
        <v>122</v>
      </c>
      <c r="L586" s="27"/>
      <c r="M586" s="15"/>
      <c r="N586" s="15"/>
      <c r="O586" s="15"/>
    </row>
    <row r="587" ht="22.5" customHeight="1">
      <c r="A587" s="32" t="str">
        <f t="shared" si="1"/>
        <v>2/2026</v>
      </c>
      <c r="B587" s="25">
        <v>46077.743153668984</v>
      </c>
      <c r="C587" s="21" t="s">
        <v>115</v>
      </c>
      <c r="D587" s="21" t="s">
        <v>1129</v>
      </c>
      <c r="E587" s="26" t="s">
        <v>1130</v>
      </c>
      <c r="F587" s="21" t="s">
        <v>118</v>
      </c>
      <c r="G587" s="21" t="s">
        <v>1652</v>
      </c>
      <c r="H587" s="21" t="s">
        <v>141</v>
      </c>
      <c r="I587" s="21" t="s">
        <v>2336</v>
      </c>
      <c r="J587" s="21" t="s">
        <v>1869</v>
      </c>
      <c r="K587" s="21" t="s">
        <v>122</v>
      </c>
      <c r="L587" s="27"/>
      <c r="M587" s="15"/>
      <c r="N587" s="15"/>
      <c r="O587" s="15"/>
    </row>
    <row r="588" ht="22.5" customHeight="1">
      <c r="A588" s="32" t="str">
        <f t="shared" si="1"/>
        <v>2/2026</v>
      </c>
      <c r="B588" s="25">
        <v>46077.76297739583</v>
      </c>
      <c r="C588" s="21" t="s">
        <v>214</v>
      </c>
      <c r="D588" s="21" t="s">
        <v>2337</v>
      </c>
      <c r="E588" s="26" t="s">
        <v>2338</v>
      </c>
      <c r="F588" s="21" t="s">
        <v>18</v>
      </c>
      <c r="G588" s="21" t="s">
        <v>2028</v>
      </c>
      <c r="H588" s="21" t="s">
        <v>36</v>
      </c>
      <c r="I588" s="21" t="s">
        <v>2339</v>
      </c>
      <c r="J588" s="21" t="s">
        <v>2175</v>
      </c>
      <c r="K588" s="21">
        <v>1.39823091200257E14</v>
      </c>
      <c r="L588" s="27"/>
      <c r="M588" s="15"/>
      <c r="N588" s="15"/>
      <c r="O588" s="15"/>
    </row>
    <row r="589" ht="22.5" customHeight="1">
      <c r="A589" s="32" t="str">
        <f t="shared" si="1"/>
        <v>2/2026</v>
      </c>
      <c r="B589" s="25">
        <v>46077.76511982639</v>
      </c>
      <c r="C589" s="21" t="s">
        <v>214</v>
      </c>
      <c r="D589" s="21" t="s">
        <v>2340</v>
      </c>
      <c r="E589" s="26" t="s">
        <v>2341</v>
      </c>
      <c r="F589" s="21" t="s">
        <v>18</v>
      </c>
      <c r="G589" s="21" t="s">
        <v>2028</v>
      </c>
      <c r="H589" s="21" t="s">
        <v>36</v>
      </c>
      <c r="I589" s="21" t="s">
        <v>2342</v>
      </c>
      <c r="J589" s="21" t="s">
        <v>2343</v>
      </c>
      <c r="K589" s="21">
        <v>1.39824102800669E14</v>
      </c>
      <c r="L589" s="27"/>
      <c r="M589" s="15"/>
      <c r="N589" s="15"/>
      <c r="O589" s="15"/>
    </row>
    <row r="590" ht="22.5" customHeight="1">
      <c r="A590" s="32" t="str">
        <f t="shared" si="1"/>
        <v>2/2026</v>
      </c>
      <c r="B590" s="25">
        <v>46077.82139641204</v>
      </c>
      <c r="C590" s="21" t="s">
        <v>1181</v>
      </c>
      <c r="D590" s="21" t="s">
        <v>2344</v>
      </c>
      <c r="E590" s="26" t="s">
        <v>2345</v>
      </c>
      <c r="F590" s="21" t="s">
        <v>18</v>
      </c>
      <c r="G590" s="21" t="s">
        <v>1505</v>
      </c>
      <c r="H590" s="21" t="s">
        <v>36</v>
      </c>
      <c r="I590" s="21" t="s">
        <v>2346</v>
      </c>
      <c r="J590" s="21" t="s">
        <v>417</v>
      </c>
      <c r="K590" s="21" t="s">
        <v>55</v>
      </c>
      <c r="L590" s="27"/>
      <c r="M590" s="15"/>
      <c r="N590" s="15"/>
      <c r="O590" s="15"/>
    </row>
    <row r="591" ht="22.5" customHeight="1">
      <c r="A591" s="32" t="str">
        <f t="shared" si="1"/>
        <v>2/2026</v>
      </c>
      <c r="B591" s="25">
        <v>46077.8432687037</v>
      </c>
      <c r="C591" s="21" t="s">
        <v>56</v>
      </c>
      <c r="D591" s="21" t="s">
        <v>1379</v>
      </c>
      <c r="E591" s="26" t="s">
        <v>2347</v>
      </c>
      <c r="F591" s="21" t="s">
        <v>18</v>
      </c>
      <c r="G591" s="21" t="s">
        <v>1419</v>
      </c>
      <c r="H591" s="21" t="s">
        <v>36</v>
      </c>
      <c r="I591" s="21" t="s">
        <v>2348</v>
      </c>
      <c r="J591" s="21" t="s">
        <v>55</v>
      </c>
      <c r="K591" s="21">
        <v>1.19823112300075E14</v>
      </c>
      <c r="L591" s="27"/>
      <c r="M591" s="15"/>
      <c r="N591" s="15"/>
      <c r="O591" s="15"/>
    </row>
    <row r="592" ht="22.5" customHeight="1">
      <c r="A592" s="32" t="str">
        <f t="shared" si="1"/>
        <v>2/2026</v>
      </c>
      <c r="B592" s="25">
        <v>46077.84496710648</v>
      </c>
      <c r="C592" s="21" t="s">
        <v>56</v>
      </c>
      <c r="D592" s="21" t="s">
        <v>371</v>
      </c>
      <c r="E592" s="26" t="s">
        <v>2349</v>
      </c>
      <c r="F592" s="21" t="s">
        <v>18</v>
      </c>
      <c r="G592" s="21" t="s">
        <v>2350</v>
      </c>
      <c r="H592" s="21" t="s">
        <v>36</v>
      </c>
      <c r="I592" s="21" t="s">
        <v>2351</v>
      </c>
      <c r="J592" s="21" t="s">
        <v>55</v>
      </c>
      <c r="K592" s="21">
        <v>1.39824102800359E14</v>
      </c>
      <c r="L592" s="27"/>
      <c r="M592" s="15"/>
      <c r="N592" s="15"/>
      <c r="O592" s="15"/>
    </row>
    <row r="593" ht="22.5" customHeight="1">
      <c r="A593" s="32" t="str">
        <f t="shared" si="1"/>
        <v>2/2026</v>
      </c>
      <c r="B593" s="25">
        <v>46077.847912349534</v>
      </c>
      <c r="C593" s="21" t="s">
        <v>56</v>
      </c>
      <c r="D593" s="21" t="s">
        <v>2352</v>
      </c>
      <c r="E593" s="26" t="s">
        <v>2353</v>
      </c>
      <c r="F593" s="21" t="s">
        <v>18</v>
      </c>
      <c r="G593" s="21" t="s">
        <v>1305</v>
      </c>
      <c r="H593" s="21" t="s">
        <v>36</v>
      </c>
      <c r="I593" s="21" t="s">
        <v>2354</v>
      </c>
      <c r="J593" s="21" t="s">
        <v>55</v>
      </c>
      <c r="K593" s="21">
        <v>1.39822102000051E14</v>
      </c>
      <c r="L593" s="27"/>
      <c r="M593" s="15"/>
      <c r="N593" s="15"/>
      <c r="O593" s="15"/>
    </row>
    <row r="594" ht="22.5" customHeight="1">
      <c r="A594" s="32" t="str">
        <f t="shared" si="1"/>
        <v>2/2026</v>
      </c>
      <c r="B594" s="25">
        <v>46077.85097476852</v>
      </c>
      <c r="C594" s="21" t="s">
        <v>56</v>
      </c>
      <c r="D594" s="21" t="s">
        <v>2355</v>
      </c>
      <c r="E594" s="26" t="s">
        <v>2356</v>
      </c>
      <c r="F594" s="21" t="s">
        <v>18</v>
      </c>
      <c r="G594" s="21" t="s">
        <v>1305</v>
      </c>
      <c r="H594" s="21" t="s">
        <v>36</v>
      </c>
      <c r="I594" s="21" t="s">
        <v>2357</v>
      </c>
      <c r="J594" s="21" t="s">
        <v>55</v>
      </c>
      <c r="K594" s="21">
        <v>1.39823091200475E14</v>
      </c>
      <c r="L594" s="27"/>
      <c r="M594" s="15"/>
      <c r="N594" s="15"/>
      <c r="O594" s="15"/>
    </row>
    <row r="595" ht="22.5" customHeight="1">
      <c r="A595" s="32" t="str">
        <f t="shared" si="1"/>
        <v>2/2026</v>
      </c>
      <c r="B595" s="25">
        <v>46078.331650625</v>
      </c>
      <c r="C595" s="21" t="s">
        <v>408</v>
      </c>
      <c r="D595" s="21" t="s">
        <v>1279</v>
      </c>
      <c r="E595" s="26" t="s">
        <v>2358</v>
      </c>
      <c r="F595" s="21" t="s">
        <v>118</v>
      </c>
      <c r="G595" s="21">
        <v>5440.0</v>
      </c>
      <c r="H595" s="21" t="s">
        <v>36</v>
      </c>
      <c r="I595" s="21" t="s">
        <v>2359</v>
      </c>
      <c r="J595" s="21" t="s">
        <v>1013</v>
      </c>
      <c r="K595" s="21">
        <v>1.1982409280007E14</v>
      </c>
      <c r="L595" s="27"/>
      <c r="M595" s="15"/>
      <c r="N595" s="15"/>
      <c r="O595" s="15"/>
    </row>
    <row r="596" ht="22.5" customHeight="1">
      <c r="A596" s="32" t="str">
        <f t="shared" si="1"/>
        <v>2/2026</v>
      </c>
      <c r="B596" s="25">
        <v>46078.48695071759</v>
      </c>
      <c r="C596" s="21" t="s">
        <v>2360</v>
      </c>
      <c r="D596" s="21" t="s">
        <v>2361</v>
      </c>
      <c r="E596" s="26" t="s">
        <v>2362</v>
      </c>
      <c r="F596" s="21" t="s">
        <v>2363</v>
      </c>
      <c r="G596" s="21" t="s">
        <v>2364</v>
      </c>
      <c r="H596" s="21" t="s">
        <v>20</v>
      </c>
      <c r="I596" s="21" t="s">
        <v>2365</v>
      </c>
      <c r="J596" s="21" t="s">
        <v>2366</v>
      </c>
      <c r="K596" s="21">
        <v>1.85825082200113E14</v>
      </c>
      <c r="L596" s="27"/>
      <c r="M596" s="15"/>
      <c r="N596" s="15"/>
      <c r="O596" s="15"/>
    </row>
    <row r="597" ht="22.5" customHeight="1">
      <c r="A597" s="32" t="str">
        <f t="shared" si="1"/>
        <v>2/2026</v>
      </c>
      <c r="B597" s="25">
        <v>46078.48900255787</v>
      </c>
      <c r="C597" s="21" t="s">
        <v>32</v>
      </c>
      <c r="D597" s="21" t="s">
        <v>1499</v>
      </c>
      <c r="E597" s="26" t="s">
        <v>2367</v>
      </c>
      <c r="F597" s="21" t="s">
        <v>18</v>
      </c>
      <c r="G597" s="21" t="s">
        <v>2368</v>
      </c>
      <c r="H597" s="21" t="s">
        <v>36</v>
      </c>
      <c r="I597" s="21" t="s">
        <v>2369</v>
      </c>
      <c r="J597" s="21" t="s">
        <v>199</v>
      </c>
      <c r="K597" s="21">
        <v>1.39823112300479E14</v>
      </c>
      <c r="L597" s="27"/>
      <c r="M597" s="15"/>
      <c r="N597" s="15"/>
      <c r="O597" s="15"/>
    </row>
    <row r="598" ht="22.5" customHeight="1">
      <c r="A598" s="32" t="str">
        <f t="shared" si="1"/>
        <v>2/2026</v>
      </c>
      <c r="B598" s="25">
        <v>46078.66055021991</v>
      </c>
      <c r="C598" s="21" t="s">
        <v>77</v>
      </c>
      <c r="D598" s="21" t="s">
        <v>2370</v>
      </c>
      <c r="E598" s="26" t="s">
        <v>2371</v>
      </c>
      <c r="F598" s="21" t="s">
        <v>64</v>
      </c>
      <c r="G598" s="21" t="s">
        <v>2372</v>
      </c>
      <c r="H598" s="21" t="s">
        <v>36</v>
      </c>
      <c r="I598" s="21" t="s">
        <v>2373</v>
      </c>
      <c r="J598" s="21" t="s">
        <v>2374</v>
      </c>
      <c r="K598" s="21">
        <v>8.92824061500386E14</v>
      </c>
      <c r="L598" s="27"/>
      <c r="M598" s="15"/>
      <c r="N598" s="15"/>
      <c r="O598" s="15"/>
    </row>
    <row r="599" ht="22.5" customHeight="1">
      <c r="A599" s="32" t="str">
        <f t="shared" si="1"/>
        <v>2/2026</v>
      </c>
      <c r="B599" s="25">
        <v>46078.705128622685</v>
      </c>
      <c r="C599" s="21" t="s">
        <v>214</v>
      </c>
      <c r="D599" s="21" t="s">
        <v>1473</v>
      </c>
      <c r="E599" s="26" t="s">
        <v>2375</v>
      </c>
      <c r="F599" s="21" t="s">
        <v>18</v>
      </c>
      <c r="G599" s="21" t="s">
        <v>2376</v>
      </c>
      <c r="H599" s="21" t="s">
        <v>36</v>
      </c>
      <c r="I599" s="21" t="s">
        <v>2377</v>
      </c>
      <c r="J599" s="21" t="s">
        <v>2378</v>
      </c>
      <c r="K599" s="21">
        <v>8.92824061500152E14</v>
      </c>
      <c r="L599" s="27"/>
      <c r="M599" s="15"/>
      <c r="N599" s="15"/>
      <c r="O599" s="15"/>
    </row>
    <row r="600" ht="22.5" customHeight="1">
      <c r="A600" s="32" t="str">
        <f t="shared" si="1"/>
        <v>2/2026</v>
      </c>
      <c r="B600" s="25">
        <v>46078.710083171296</v>
      </c>
      <c r="C600" s="21" t="s">
        <v>32</v>
      </c>
      <c r="D600" s="21" t="s">
        <v>2379</v>
      </c>
      <c r="E600" s="26" t="s">
        <v>2380</v>
      </c>
      <c r="F600" s="21" t="s">
        <v>18</v>
      </c>
      <c r="G600" s="21" t="s">
        <v>2368</v>
      </c>
      <c r="H600" s="21" t="s">
        <v>36</v>
      </c>
      <c r="I600" s="21" t="s">
        <v>2381</v>
      </c>
      <c r="J600" s="21" t="s">
        <v>199</v>
      </c>
      <c r="K600" s="21">
        <v>1.39822120800005E14</v>
      </c>
      <c r="L600" s="27"/>
      <c r="M600" s="15"/>
      <c r="N600" s="15"/>
      <c r="O600" s="15"/>
    </row>
    <row r="601" ht="22.5" customHeight="1">
      <c r="A601" s="32" t="str">
        <f t="shared" si="1"/>
        <v>2/2026</v>
      </c>
      <c r="B601" s="25">
        <v>46078.71350484954</v>
      </c>
      <c r="C601" s="21" t="s">
        <v>32</v>
      </c>
      <c r="D601" s="21" t="s">
        <v>2382</v>
      </c>
      <c r="E601" s="26" t="s">
        <v>2383</v>
      </c>
      <c r="F601" s="21" t="s">
        <v>18</v>
      </c>
      <c r="G601" s="21" t="s">
        <v>2384</v>
      </c>
      <c r="H601" s="21" t="s">
        <v>36</v>
      </c>
      <c r="I601" s="21" t="s">
        <v>2385</v>
      </c>
      <c r="J601" s="21" t="s">
        <v>2386</v>
      </c>
      <c r="K601" s="21">
        <v>1.48823071800007E14</v>
      </c>
      <c r="L601" s="27"/>
      <c r="M601" s="15"/>
      <c r="N601" s="15"/>
      <c r="O601" s="15"/>
    </row>
    <row r="602" ht="22.5" customHeight="1">
      <c r="A602" s="32" t="str">
        <f t="shared" si="1"/>
        <v>2/2026</v>
      </c>
      <c r="B602" s="25">
        <v>46078.79089899306</v>
      </c>
      <c r="C602" s="21" t="s">
        <v>611</v>
      </c>
      <c r="D602" s="21" t="s">
        <v>2387</v>
      </c>
      <c r="E602" s="26" t="s">
        <v>613</v>
      </c>
      <c r="F602" s="21" t="s">
        <v>614</v>
      </c>
      <c r="G602" s="21" t="s">
        <v>2388</v>
      </c>
      <c r="H602" s="21" t="s">
        <v>721</v>
      </c>
      <c r="I602" s="21" t="s">
        <v>2389</v>
      </c>
      <c r="J602" s="21" t="s">
        <v>2390</v>
      </c>
      <c r="K602" s="21">
        <v>1.85825082200115E14</v>
      </c>
      <c r="L602" s="27"/>
      <c r="M602" s="15"/>
      <c r="N602" s="15"/>
      <c r="O602" s="15"/>
    </row>
    <row r="603" ht="22.5" customHeight="1">
      <c r="A603" s="32" t="str">
        <f t="shared" si="1"/>
        <v>2/2026</v>
      </c>
      <c r="B603" s="25">
        <v>46078.80896833334</v>
      </c>
      <c r="C603" s="21" t="s">
        <v>115</v>
      </c>
      <c r="D603" s="21" t="s">
        <v>2391</v>
      </c>
      <c r="E603" s="26" t="s">
        <v>2392</v>
      </c>
      <c r="F603" s="21" t="s">
        <v>118</v>
      </c>
      <c r="G603" s="21" t="s">
        <v>178</v>
      </c>
      <c r="H603" s="21" t="s">
        <v>141</v>
      </c>
      <c r="I603" s="21" t="s">
        <v>2393</v>
      </c>
      <c r="J603" s="21" t="s">
        <v>2394</v>
      </c>
      <c r="K603" s="21" t="s">
        <v>122</v>
      </c>
      <c r="L603" s="27"/>
      <c r="M603" s="15"/>
      <c r="N603" s="15"/>
      <c r="O603" s="15"/>
    </row>
    <row r="604" ht="22.5" customHeight="1">
      <c r="A604" s="32" t="str">
        <f t="shared" si="1"/>
        <v>2/2026</v>
      </c>
      <c r="B604" s="25">
        <v>46078.81377059028</v>
      </c>
      <c r="C604" s="21" t="s">
        <v>115</v>
      </c>
      <c r="D604" s="21" t="s">
        <v>2395</v>
      </c>
      <c r="E604" s="26" t="s">
        <v>2396</v>
      </c>
      <c r="F604" s="21" t="s">
        <v>118</v>
      </c>
      <c r="G604" s="21" t="s">
        <v>1287</v>
      </c>
      <c r="H604" s="21" t="s">
        <v>36</v>
      </c>
      <c r="I604" s="21" t="s">
        <v>2397</v>
      </c>
      <c r="J604" s="21" t="s">
        <v>965</v>
      </c>
      <c r="K604" s="21" t="s">
        <v>122</v>
      </c>
      <c r="L604" s="27"/>
      <c r="M604" s="15"/>
      <c r="N604" s="15"/>
      <c r="O604" s="15"/>
    </row>
    <row r="605" ht="22.5" customHeight="1">
      <c r="A605" s="32" t="str">
        <f t="shared" si="1"/>
        <v>2/2026</v>
      </c>
      <c r="B605" s="25">
        <v>46078.81594739584</v>
      </c>
      <c r="C605" s="21" t="s">
        <v>115</v>
      </c>
      <c r="D605" s="21" t="s">
        <v>2398</v>
      </c>
      <c r="E605" s="26" t="s">
        <v>2399</v>
      </c>
      <c r="F605" s="21" t="s">
        <v>118</v>
      </c>
      <c r="G605" s="21" t="s">
        <v>1124</v>
      </c>
      <c r="H605" s="21" t="s">
        <v>36</v>
      </c>
      <c r="I605" s="21" t="s">
        <v>2400</v>
      </c>
      <c r="J605" s="21" t="s">
        <v>965</v>
      </c>
      <c r="K605" s="21" t="s">
        <v>122</v>
      </c>
      <c r="L605" s="27"/>
      <c r="M605" s="15"/>
      <c r="N605" s="15"/>
      <c r="O605" s="15"/>
    </row>
    <row r="606" ht="22.5" customHeight="1">
      <c r="A606" s="32" t="str">
        <f t="shared" si="1"/>
        <v>2/2026</v>
      </c>
      <c r="B606" s="25">
        <v>46079.32918956019</v>
      </c>
      <c r="C606" s="21" t="s">
        <v>123</v>
      </c>
      <c r="D606" s="21" t="s">
        <v>2401</v>
      </c>
      <c r="E606" s="26" t="s">
        <v>2402</v>
      </c>
      <c r="F606" s="21" t="s">
        <v>18</v>
      </c>
      <c r="G606" s="21" t="s">
        <v>1957</v>
      </c>
      <c r="H606" s="21" t="s">
        <v>36</v>
      </c>
      <c r="I606" s="21" t="s">
        <v>2403</v>
      </c>
      <c r="J606" s="21" t="s">
        <v>2404</v>
      </c>
      <c r="K606" s="21">
        <v>8.92824061500346E14</v>
      </c>
      <c r="L606" s="27"/>
      <c r="M606" s="15"/>
      <c r="N606" s="15"/>
      <c r="O606" s="15"/>
    </row>
    <row r="607" ht="22.5" customHeight="1">
      <c r="A607" s="32" t="str">
        <f t="shared" si="1"/>
        <v>2/2026</v>
      </c>
      <c r="B607" s="25">
        <v>46079.33189678241</v>
      </c>
      <c r="C607" s="21" t="s">
        <v>123</v>
      </c>
      <c r="D607" s="21" t="s">
        <v>2405</v>
      </c>
      <c r="E607" s="26" t="s">
        <v>2406</v>
      </c>
      <c r="F607" s="21" t="s">
        <v>18</v>
      </c>
      <c r="G607" s="21" t="s">
        <v>259</v>
      </c>
      <c r="H607" s="21" t="s">
        <v>36</v>
      </c>
      <c r="I607" s="21" t="s">
        <v>2407</v>
      </c>
      <c r="J607" s="21" t="s">
        <v>1357</v>
      </c>
      <c r="K607" s="21">
        <v>1.3982309120009E14</v>
      </c>
      <c r="L607" s="27"/>
      <c r="M607" s="15"/>
      <c r="N607" s="15"/>
      <c r="O607" s="15"/>
    </row>
    <row r="608" ht="22.5" customHeight="1">
      <c r="A608" s="32" t="str">
        <f t="shared" si="1"/>
        <v>2/2026</v>
      </c>
      <c r="B608" s="25">
        <v>46079.39832550926</v>
      </c>
      <c r="C608" s="21" t="s">
        <v>132</v>
      </c>
      <c r="D608" s="21" t="s">
        <v>2408</v>
      </c>
      <c r="E608" s="26" t="s">
        <v>2409</v>
      </c>
      <c r="F608" s="21" t="s">
        <v>18</v>
      </c>
      <c r="G608" s="21" t="s">
        <v>1083</v>
      </c>
      <c r="H608" s="21" t="s">
        <v>36</v>
      </c>
      <c r="I608" s="21" t="s">
        <v>2410</v>
      </c>
      <c r="J608" s="21" t="s">
        <v>2411</v>
      </c>
      <c r="K608" s="21">
        <v>1.39824091100499E14</v>
      </c>
      <c r="L608" s="27"/>
      <c r="M608" s="15"/>
      <c r="N608" s="15"/>
      <c r="O608" s="15"/>
    </row>
    <row r="609" ht="22.5" customHeight="1">
      <c r="A609" s="32" t="str">
        <f t="shared" si="1"/>
        <v>2/2026</v>
      </c>
      <c r="B609" s="25">
        <v>46079.404222233796</v>
      </c>
      <c r="C609" s="21" t="s">
        <v>132</v>
      </c>
      <c r="D609" s="21" t="s">
        <v>2412</v>
      </c>
      <c r="E609" s="26" t="s">
        <v>2413</v>
      </c>
      <c r="F609" s="21" t="s">
        <v>18</v>
      </c>
      <c r="G609" s="21" t="s">
        <v>383</v>
      </c>
      <c r="H609" s="21" t="s">
        <v>36</v>
      </c>
      <c r="I609" s="21" t="s">
        <v>2414</v>
      </c>
      <c r="J609" s="21" t="s">
        <v>2415</v>
      </c>
      <c r="K609" s="21">
        <v>1.19824092800362E14</v>
      </c>
      <c r="L609" s="27"/>
      <c r="M609" s="15"/>
      <c r="N609" s="15"/>
      <c r="O609" s="15"/>
    </row>
    <row r="610" ht="22.5" customHeight="1">
      <c r="A610" s="32" t="str">
        <f t="shared" si="1"/>
        <v>2/2026</v>
      </c>
      <c r="B610" s="25">
        <v>46079.40609307871</v>
      </c>
      <c r="C610" s="21" t="s">
        <v>132</v>
      </c>
      <c r="D610" s="21" t="s">
        <v>2416</v>
      </c>
      <c r="E610" s="26" t="s">
        <v>2417</v>
      </c>
      <c r="F610" s="21" t="s">
        <v>18</v>
      </c>
      <c r="G610" s="21" t="s">
        <v>2418</v>
      </c>
      <c r="H610" s="21" t="s">
        <v>36</v>
      </c>
      <c r="I610" s="21" t="s">
        <v>2419</v>
      </c>
      <c r="J610" s="21" t="s">
        <v>2420</v>
      </c>
      <c r="K610" s="21">
        <v>1.39823091200338E14</v>
      </c>
      <c r="L610" s="27"/>
      <c r="M610" s="15"/>
      <c r="N610" s="15"/>
      <c r="O610" s="15"/>
    </row>
    <row r="611" ht="22.5" customHeight="1">
      <c r="A611" s="32" t="str">
        <f t="shared" si="1"/>
        <v>2/2026</v>
      </c>
      <c r="B611" s="25">
        <v>46079.44810126157</v>
      </c>
      <c r="C611" s="21" t="s">
        <v>39</v>
      </c>
      <c r="D611" s="21" t="s">
        <v>2421</v>
      </c>
      <c r="E611" s="26" t="s">
        <v>2422</v>
      </c>
      <c r="F611" s="21" t="s">
        <v>42</v>
      </c>
      <c r="G611" s="21" t="s">
        <v>217</v>
      </c>
      <c r="H611" s="21" t="s">
        <v>44</v>
      </c>
      <c r="I611" s="21" t="s">
        <v>2423</v>
      </c>
      <c r="J611" s="21" t="s">
        <v>151</v>
      </c>
      <c r="K611" s="21">
        <v>1.85825082200088E14</v>
      </c>
      <c r="L611" s="27"/>
      <c r="M611" s="15"/>
      <c r="N611" s="15"/>
      <c r="O611" s="15"/>
    </row>
    <row r="612" ht="22.5" customHeight="1">
      <c r="A612" s="32" t="str">
        <f t="shared" si="1"/>
        <v>2/2026</v>
      </c>
      <c r="B612" s="25">
        <v>46079.52510583334</v>
      </c>
      <c r="C612" s="21" t="s">
        <v>169</v>
      </c>
      <c r="D612" s="21" t="s">
        <v>2424</v>
      </c>
      <c r="E612" s="26" t="s">
        <v>2425</v>
      </c>
      <c r="F612" s="21" t="s">
        <v>404</v>
      </c>
      <c r="G612" s="21" t="s">
        <v>2426</v>
      </c>
      <c r="H612" s="21" t="s">
        <v>44</v>
      </c>
      <c r="I612" s="21" t="s">
        <v>2427</v>
      </c>
      <c r="J612" s="21" t="s">
        <v>2428</v>
      </c>
      <c r="K612" s="21">
        <v>1.85825082200056E14</v>
      </c>
      <c r="L612" s="27"/>
      <c r="M612" s="15"/>
      <c r="N612" s="15"/>
      <c r="O612" s="15"/>
    </row>
    <row r="613" ht="22.5" customHeight="1">
      <c r="A613" s="32" t="str">
        <f t="shared" si="1"/>
        <v>2/2026</v>
      </c>
      <c r="B613" s="25">
        <v>46079.57138460648</v>
      </c>
      <c r="C613" s="21" t="s">
        <v>320</v>
      </c>
      <c r="D613" s="21" t="s">
        <v>2429</v>
      </c>
      <c r="E613" s="26" t="s">
        <v>2430</v>
      </c>
      <c r="F613" s="21" t="s">
        <v>118</v>
      </c>
      <c r="G613" s="21" t="s">
        <v>2431</v>
      </c>
      <c r="H613" s="21" t="s">
        <v>36</v>
      </c>
      <c r="I613" s="21" t="s">
        <v>2432</v>
      </c>
      <c r="J613" s="21" t="s">
        <v>1912</v>
      </c>
      <c r="K613" s="21">
        <v>1.39823091200283E14</v>
      </c>
      <c r="L613" s="27"/>
      <c r="M613" s="15"/>
      <c r="N613" s="15"/>
      <c r="O613" s="15"/>
    </row>
    <row r="614" ht="22.5" customHeight="1">
      <c r="A614" s="32" t="str">
        <f t="shared" si="1"/>
        <v>2/2026</v>
      </c>
      <c r="B614" s="25">
        <v>46079.58328842593</v>
      </c>
      <c r="C614" s="21" t="s">
        <v>51</v>
      </c>
      <c r="D614" s="21" t="s">
        <v>655</v>
      </c>
      <c r="E614" s="26" t="s">
        <v>2433</v>
      </c>
      <c r="F614" s="21" t="s">
        <v>18</v>
      </c>
      <c r="G614" s="21" t="s">
        <v>19</v>
      </c>
      <c r="H614" s="21" t="s">
        <v>20</v>
      </c>
      <c r="I614" s="21" t="s">
        <v>2434</v>
      </c>
      <c r="J614" s="21" t="s">
        <v>771</v>
      </c>
      <c r="K614" s="21">
        <v>1.85825082200077E14</v>
      </c>
      <c r="L614" s="27"/>
      <c r="M614" s="15"/>
      <c r="N614" s="15"/>
      <c r="O614" s="15"/>
    </row>
    <row r="615" ht="22.5" customHeight="1">
      <c r="A615" s="32" t="str">
        <f t="shared" si="1"/>
        <v>2/2026</v>
      </c>
      <c r="B615" s="25">
        <v>46079.74003888889</v>
      </c>
      <c r="C615" s="21" t="s">
        <v>618</v>
      </c>
      <c r="D615" s="21" t="s">
        <v>2435</v>
      </c>
      <c r="E615" s="26" t="s">
        <v>2436</v>
      </c>
      <c r="F615" s="21" t="s">
        <v>118</v>
      </c>
      <c r="G615" s="21" t="s">
        <v>2437</v>
      </c>
      <c r="H615" s="21" t="s">
        <v>36</v>
      </c>
      <c r="I615" s="21" t="s">
        <v>2438</v>
      </c>
      <c r="J615" s="21" t="s">
        <v>1819</v>
      </c>
      <c r="K615" s="21">
        <v>1.19823021300073E14</v>
      </c>
      <c r="L615" s="27"/>
      <c r="M615" s="15"/>
      <c r="N615" s="15"/>
      <c r="O615" s="15"/>
    </row>
    <row r="616" ht="22.5" customHeight="1">
      <c r="A616" s="32" t="str">
        <f t="shared" si="1"/>
        <v>2/2026</v>
      </c>
      <c r="B616" s="25">
        <v>46079.75734877315</v>
      </c>
      <c r="C616" s="21" t="s">
        <v>408</v>
      </c>
      <c r="D616" s="21" t="s">
        <v>2439</v>
      </c>
      <c r="E616" s="26" t="s">
        <v>2440</v>
      </c>
      <c r="F616" s="21" t="s">
        <v>118</v>
      </c>
      <c r="G616" s="21" t="s">
        <v>2028</v>
      </c>
      <c r="H616" s="21" t="s">
        <v>36</v>
      </c>
      <c r="I616" s="21" t="s">
        <v>2441</v>
      </c>
      <c r="J616" s="21" t="s">
        <v>1013</v>
      </c>
      <c r="K616" s="21">
        <v>1.39823112300266E14</v>
      </c>
      <c r="L616" s="27"/>
      <c r="M616" s="15"/>
      <c r="N616" s="15"/>
      <c r="O616" s="15"/>
    </row>
    <row r="617" ht="22.5" customHeight="1">
      <c r="A617" s="32" t="str">
        <f t="shared" si="1"/>
        <v>2/2026</v>
      </c>
      <c r="B617" s="25">
        <v>46080.290803703705</v>
      </c>
      <c r="C617" s="21" t="s">
        <v>320</v>
      </c>
      <c r="D617" s="21" t="s">
        <v>2442</v>
      </c>
      <c r="E617" s="26" t="s">
        <v>2430</v>
      </c>
      <c r="F617" s="21" t="s">
        <v>118</v>
      </c>
      <c r="G617" s="21" t="s">
        <v>1415</v>
      </c>
      <c r="H617" s="21" t="s">
        <v>36</v>
      </c>
      <c r="I617" s="21" t="s">
        <v>2443</v>
      </c>
      <c r="J617" s="21" t="s">
        <v>2444</v>
      </c>
      <c r="K617" s="21">
        <v>1.39823091200283E14</v>
      </c>
      <c r="L617" s="27"/>
      <c r="M617" s="15"/>
      <c r="N617" s="15"/>
      <c r="O617" s="15"/>
    </row>
    <row r="618" ht="22.5" customHeight="1">
      <c r="A618" s="32" t="str">
        <f t="shared" si="1"/>
        <v>2/2026</v>
      </c>
      <c r="B618" s="25">
        <v>46080.41435721065</v>
      </c>
      <c r="C618" s="21" t="s">
        <v>51</v>
      </c>
      <c r="D618" s="21" t="s">
        <v>240</v>
      </c>
      <c r="E618" s="26" t="s">
        <v>2445</v>
      </c>
      <c r="F618" s="21" t="s">
        <v>18</v>
      </c>
      <c r="G618" s="21">
        <v>5640.0</v>
      </c>
      <c r="H618" s="21" t="s">
        <v>36</v>
      </c>
      <c r="I618" s="21" t="s">
        <v>2446</v>
      </c>
      <c r="J618" s="21" t="s">
        <v>771</v>
      </c>
      <c r="K618" s="21">
        <v>8.92824103000114E14</v>
      </c>
      <c r="L618" s="27"/>
      <c r="M618" s="15"/>
      <c r="N618" s="15"/>
      <c r="O618" s="15"/>
    </row>
    <row r="619" ht="22.5" customHeight="1">
      <c r="A619" s="32" t="str">
        <f t="shared" si="1"/>
        <v>2/2026</v>
      </c>
      <c r="B619" s="25">
        <v>46080.73211577546</v>
      </c>
      <c r="C619" s="21" t="s">
        <v>115</v>
      </c>
      <c r="D619" s="21" t="s">
        <v>946</v>
      </c>
      <c r="E619" s="26" t="s">
        <v>2447</v>
      </c>
      <c r="F619" s="21" t="s">
        <v>118</v>
      </c>
      <c r="G619" s="21" t="s">
        <v>178</v>
      </c>
      <c r="H619" s="21" t="s">
        <v>36</v>
      </c>
      <c r="I619" s="21" t="s">
        <v>2448</v>
      </c>
      <c r="J619" s="21" t="s">
        <v>965</v>
      </c>
      <c r="K619" s="21" t="s">
        <v>122</v>
      </c>
      <c r="L619" s="27"/>
      <c r="M619" s="15"/>
      <c r="N619" s="15"/>
      <c r="O619" s="15"/>
    </row>
    <row r="620" ht="22.5" customHeight="1">
      <c r="A620" s="32" t="str">
        <f t="shared" si="1"/>
        <v>2/2026</v>
      </c>
      <c r="B620" s="25">
        <v>46080.73800033565</v>
      </c>
      <c r="C620" s="21" t="s">
        <v>115</v>
      </c>
      <c r="D620" s="21" t="s">
        <v>1745</v>
      </c>
      <c r="E620" s="26" t="s">
        <v>1746</v>
      </c>
      <c r="F620" s="21" t="s">
        <v>118</v>
      </c>
      <c r="G620" s="21" t="s">
        <v>1124</v>
      </c>
      <c r="H620" s="21" t="s">
        <v>141</v>
      </c>
      <c r="I620" s="21" t="s">
        <v>2449</v>
      </c>
      <c r="J620" s="21" t="s">
        <v>965</v>
      </c>
      <c r="K620" s="21" t="s">
        <v>122</v>
      </c>
      <c r="L620" s="27"/>
      <c r="M620" s="15"/>
      <c r="N620" s="15"/>
      <c r="O620" s="15"/>
    </row>
    <row r="621" ht="22.5" customHeight="1">
      <c r="A621" s="32" t="str">
        <f t="shared" si="1"/>
        <v>2/2026</v>
      </c>
      <c r="B621" s="25">
        <v>46080.73909762732</v>
      </c>
      <c r="C621" s="21" t="s">
        <v>115</v>
      </c>
      <c r="D621" s="21" t="s">
        <v>2450</v>
      </c>
      <c r="E621" s="26" t="s">
        <v>1934</v>
      </c>
      <c r="F621" s="21" t="s">
        <v>118</v>
      </c>
      <c r="G621" s="21" t="s">
        <v>178</v>
      </c>
      <c r="H621" s="21" t="s">
        <v>141</v>
      </c>
      <c r="I621" s="29" t="s">
        <v>2451</v>
      </c>
      <c r="J621" s="21" t="s">
        <v>1273</v>
      </c>
      <c r="K621" s="21" t="s">
        <v>122</v>
      </c>
      <c r="L621" s="27"/>
      <c r="M621" s="15"/>
      <c r="N621" s="15"/>
      <c r="O621" s="15"/>
    </row>
    <row r="622" ht="22.5" customHeight="1">
      <c r="A622" s="32" t="str">
        <f t="shared" si="1"/>
        <v>2/2026</v>
      </c>
      <c r="B622" s="25">
        <v>46080.768333182874</v>
      </c>
      <c r="C622" s="21" t="s">
        <v>214</v>
      </c>
      <c r="D622" s="21" t="s">
        <v>2452</v>
      </c>
      <c r="E622" s="26" t="s">
        <v>2453</v>
      </c>
      <c r="F622" s="21" t="s">
        <v>18</v>
      </c>
      <c r="G622" s="21" t="s">
        <v>2454</v>
      </c>
      <c r="H622" s="21" t="s">
        <v>36</v>
      </c>
      <c r="I622" s="21" t="s">
        <v>2455</v>
      </c>
      <c r="J622" s="21" t="s">
        <v>2456</v>
      </c>
      <c r="K622" s="21">
        <v>1.39824091100439E14</v>
      </c>
      <c r="L622" s="27"/>
      <c r="M622" s="15"/>
      <c r="N622" s="15"/>
      <c r="O622" s="15"/>
    </row>
    <row r="623" ht="22.5" customHeight="1">
      <c r="A623" s="32" t="str">
        <f t="shared" si="1"/>
        <v>2/2026</v>
      </c>
      <c r="B623" s="25">
        <v>46080.827444780094</v>
      </c>
      <c r="C623" s="21" t="s">
        <v>56</v>
      </c>
      <c r="D623" s="21" t="s">
        <v>2457</v>
      </c>
      <c r="E623" s="26" t="s">
        <v>2458</v>
      </c>
      <c r="F623" s="21" t="s">
        <v>18</v>
      </c>
      <c r="G623" s="21" t="s">
        <v>2459</v>
      </c>
      <c r="H623" s="21" t="s">
        <v>36</v>
      </c>
      <c r="I623" s="21" t="s">
        <v>2460</v>
      </c>
      <c r="J623" s="21" t="s">
        <v>55</v>
      </c>
      <c r="K623" s="21">
        <v>8.92823021300179E14</v>
      </c>
      <c r="L623" s="27"/>
      <c r="M623" s="15"/>
      <c r="N623" s="15"/>
      <c r="O623" s="15"/>
    </row>
    <row r="624" ht="22.5" customHeight="1">
      <c r="A624" s="32" t="str">
        <f t="shared" si="1"/>
        <v>2/2026</v>
      </c>
      <c r="B624" s="25">
        <v>46081.33268478009</v>
      </c>
      <c r="C624" s="21" t="s">
        <v>51</v>
      </c>
      <c r="D624" s="21" t="s">
        <v>2461</v>
      </c>
      <c r="E624" s="26" t="s">
        <v>2462</v>
      </c>
      <c r="F624" s="21" t="s">
        <v>18</v>
      </c>
      <c r="G624" s="21">
        <v>5840.0</v>
      </c>
      <c r="H624" s="21" t="s">
        <v>36</v>
      </c>
      <c r="I624" s="21" t="s">
        <v>2463</v>
      </c>
      <c r="J624" s="21" t="s">
        <v>1136</v>
      </c>
      <c r="K624" s="21">
        <v>1.39824102800182E14</v>
      </c>
      <c r="L624" s="27"/>
      <c r="M624" s="15"/>
      <c r="N624" s="15"/>
      <c r="O624" s="15"/>
    </row>
    <row r="625" ht="22.5" customHeight="1">
      <c r="A625" s="32" t="str">
        <f t="shared" si="1"/>
        <v>2/2026</v>
      </c>
      <c r="B625" s="25">
        <v>46081.54110390046</v>
      </c>
      <c r="C625" s="21" t="s">
        <v>214</v>
      </c>
      <c r="D625" s="21" t="s">
        <v>988</v>
      </c>
      <c r="E625" s="26" t="s">
        <v>2464</v>
      </c>
      <c r="F625" s="21" t="s">
        <v>18</v>
      </c>
      <c r="G625" s="21" t="s">
        <v>2465</v>
      </c>
      <c r="H625" s="21" t="s">
        <v>36</v>
      </c>
      <c r="I625" s="21" t="s">
        <v>2466</v>
      </c>
      <c r="J625" s="21" t="s">
        <v>2467</v>
      </c>
      <c r="K625" s="21">
        <v>1.19824062700192E14</v>
      </c>
      <c r="L625" s="27"/>
      <c r="M625" s="15"/>
      <c r="N625" s="15"/>
      <c r="O625" s="15"/>
    </row>
    <row r="626" ht="22.5" customHeight="1">
      <c r="A626" s="32" t="str">
        <f t="shared" si="1"/>
        <v>2/2026</v>
      </c>
      <c r="B626" s="25">
        <v>46081.54727087963</v>
      </c>
      <c r="C626" s="21" t="s">
        <v>1181</v>
      </c>
      <c r="D626" s="21" t="s">
        <v>2468</v>
      </c>
      <c r="E626" s="21" t="s">
        <v>2469</v>
      </c>
      <c r="F626" s="21" t="s">
        <v>18</v>
      </c>
      <c r="G626" s="21" t="s">
        <v>2470</v>
      </c>
      <c r="H626" s="21" t="s">
        <v>36</v>
      </c>
      <c r="I626" s="29" t="s">
        <v>2471</v>
      </c>
      <c r="J626" s="21" t="s">
        <v>2472</v>
      </c>
      <c r="K626" s="21">
        <v>1.39824092700239E14</v>
      </c>
      <c r="L626" s="27"/>
      <c r="M626" s="15"/>
      <c r="N626" s="15"/>
      <c r="O626" s="15"/>
    </row>
    <row r="627" ht="22.5" customHeight="1">
      <c r="A627" s="32" t="str">
        <f t="shared" si="1"/>
        <v>2/2026</v>
      </c>
      <c r="B627" s="25">
        <v>46081.748093194445</v>
      </c>
      <c r="C627" s="21" t="s">
        <v>32</v>
      </c>
      <c r="D627" s="21" t="s">
        <v>2473</v>
      </c>
      <c r="E627" s="26" t="s">
        <v>2474</v>
      </c>
      <c r="F627" s="21" t="s">
        <v>18</v>
      </c>
      <c r="G627" s="21" t="s">
        <v>2368</v>
      </c>
      <c r="H627" s="21" t="s">
        <v>36</v>
      </c>
      <c r="I627" s="21" t="s">
        <v>2475</v>
      </c>
      <c r="J627" s="21" t="s">
        <v>199</v>
      </c>
      <c r="K627" s="21">
        <v>1.39824091100019E14</v>
      </c>
      <c r="L627" s="27"/>
      <c r="M627" s="15"/>
      <c r="N627" s="15"/>
      <c r="O627" s="15"/>
    </row>
    <row r="628" ht="22.5" customHeight="1">
      <c r="A628" s="32" t="str">
        <f t="shared" si="1"/>
        <v>2/2026</v>
      </c>
      <c r="B628" s="25">
        <v>46081.88643083333</v>
      </c>
      <c r="C628" s="21" t="s">
        <v>618</v>
      </c>
      <c r="D628" s="21" t="s">
        <v>1955</v>
      </c>
      <c r="E628" s="26" t="s">
        <v>2476</v>
      </c>
      <c r="F628" s="21" t="s">
        <v>118</v>
      </c>
      <c r="G628" s="21" t="s">
        <v>19</v>
      </c>
      <c r="H628" s="21" t="s">
        <v>20</v>
      </c>
      <c r="I628" s="21" t="s">
        <v>2477</v>
      </c>
      <c r="J628" s="21" t="s">
        <v>2478</v>
      </c>
      <c r="K628" s="21">
        <v>1.8582508220013E14</v>
      </c>
      <c r="L628" s="27"/>
      <c r="M628" s="15"/>
      <c r="N628" s="15"/>
      <c r="O628" s="15"/>
    </row>
    <row r="629" ht="22.5" customHeight="1">
      <c r="A629" s="32" t="str">
        <f t="shared" si="1"/>
        <v>2/2026</v>
      </c>
      <c r="B629" s="25">
        <v>46081.88643083333</v>
      </c>
      <c r="C629" s="21" t="s">
        <v>2479</v>
      </c>
      <c r="D629" s="21" t="s">
        <v>2480</v>
      </c>
      <c r="E629" s="26" t="s">
        <v>2481</v>
      </c>
      <c r="F629" s="21" t="s">
        <v>2482</v>
      </c>
      <c r="G629" s="21" t="s">
        <v>1083</v>
      </c>
      <c r="H629" s="21" t="s">
        <v>36</v>
      </c>
      <c r="I629" s="21" t="s">
        <v>2483</v>
      </c>
      <c r="J629" s="21" t="s">
        <v>2484</v>
      </c>
      <c r="K629" s="21">
        <v>1.39824102800684E14</v>
      </c>
      <c r="L629" s="27"/>
      <c r="M629" s="15"/>
      <c r="N629" s="15"/>
      <c r="O629" s="15"/>
    </row>
    <row r="630" ht="22.5" customHeight="1">
      <c r="A630" s="32" t="str">
        <f t="shared" si="1"/>
        <v>3/2026</v>
      </c>
      <c r="B630" s="25">
        <v>46083.38795592592</v>
      </c>
      <c r="C630" s="21" t="s">
        <v>308</v>
      </c>
      <c r="D630" s="21" t="s">
        <v>2485</v>
      </c>
      <c r="E630" s="26" t="s">
        <v>2486</v>
      </c>
      <c r="F630" s="21" t="s">
        <v>106</v>
      </c>
      <c r="G630" s="21" t="s">
        <v>1415</v>
      </c>
      <c r="H630" s="21" t="s">
        <v>36</v>
      </c>
      <c r="I630" s="21" t="s">
        <v>2487</v>
      </c>
      <c r="J630" s="21" t="s">
        <v>1806</v>
      </c>
      <c r="K630" s="21" t="s">
        <v>2488</v>
      </c>
      <c r="L630" s="27"/>
      <c r="M630" s="15"/>
      <c r="N630" s="15"/>
      <c r="O630" s="15"/>
    </row>
    <row r="631" ht="22.5" customHeight="1">
      <c r="A631" s="32" t="str">
        <f t="shared" si="1"/>
        <v>3/2026</v>
      </c>
      <c r="B631" s="25">
        <v>46083.544624456015</v>
      </c>
      <c r="C631" s="21" t="s">
        <v>214</v>
      </c>
      <c r="D631" s="21" t="s">
        <v>2489</v>
      </c>
      <c r="E631" s="26" t="s">
        <v>2490</v>
      </c>
      <c r="F631" s="21" t="s">
        <v>18</v>
      </c>
      <c r="G631" s="21" t="s">
        <v>2491</v>
      </c>
      <c r="H631" s="21" t="s">
        <v>36</v>
      </c>
      <c r="I631" s="21" t="s">
        <v>2492</v>
      </c>
      <c r="J631" s="21" t="s">
        <v>2376</v>
      </c>
      <c r="K631" s="21">
        <v>8.92824103000081E14</v>
      </c>
      <c r="L631" s="27"/>
      <c r="M631" s="15"/>
      <c r="N631" s="15"/>
      <c r="O631" s="15"/>
    </row>
    <row r="632" ht="22.5" customHeight="1">
      <c r="A632" s="32" t="str">
        <f t="shared" si="1"/>
        <v>3/2026</v>
      </c>
      <c r="B632" s="25">
        <v>46083.63242390046</v>
      </c>
      <c r="C632" s="21" t="s">
        <v>132</v>
      </c>
      <c r="D632" s="21" t="s">
        <v>2493</v>
      </c>
      <c r="E632" s="26" t="s">
        <v>2494</v>
      </c>
      <c r="F632" s="21" t="s">
        <v>18</v>
      </c>
      <c r="G632" s="21">
        <v>3626.0</v>
      </c>
      <c r="H632" s="21" t="s">
        <v>20</v>
      </c>
      <c r="I632" s="21" t="s">
        <v>2495</v>
      </c>
      <c r="J632" s="21" t="s">
        <v>2301</v>
      </c>
      <c r="K632" s="21">
        <v>1.86825082100113E14</v>
      </c>
      <c r="L632" s="27"/>
      <c r="M632" s="15"/>
      <c r="N632" s="15"/>
      <c r="O632" s="15"/>
    </row>
    <row r="633" ht="22.5" customHeight="1">
      <c r="A633" s="32" t="str">
        <f t="shared" si="1"/>
        <v>3/2026</v>
      </c>
      <c r="B633" s="25">
        <v>46083.657278125</v>
      </c>
      <c r="C633" s="21" t="s">
        <v>320</v>
      </c>
      <c r="D633" s="21" t="s">
        <v>2496</v>
      </c>
      <c r="E633" s="26" t="s">
        <v>2497</v>
      </c>
      <c r="F633" s="21" t="s">
        <v>812</v>
      </c>
      <c r="G633" s="21" t="s">
        <v>217</v>
      </c>
      <c r="H633" s="21" t="s">
        <v>44</v>
      </c>
      <c r="I633" s="21" t="s">
        <v>2498</v>
      </c>
      <c r="J633" s="21" t="s">
        <v>2499</v>
      </c>
      <c r="K633" s="21">
        <v>1.85825082200132E14</v>
      </c>
      <c r="L633" s="27"/>
      <c r="M633" s="15"/>
      <c r="N633" s="15"/>
      <c r="O633" s="15"/>
    </row>
    <row r="634" ht="22.5" customHeight="1">
      <c r="A634" s="32" t="str">
        <f t="shared" si="1"/>
        <v>3/2026</v>
      </c>
      <c r="B634" s="25">
        <v>46083.734463796296</v>
      </c>
      <c r="C634" s="21" t="s">
        <v>115</v>
      </c>
      <c r="D634" s="21" t="s">
        <v>2500</v>
      </c>
      <c r="E634" s="26" t="s">
        <v>2501</v>
      </c>
      <c r="F634" s="21" t="s">
        <v>118</v>
      </c>
      <c r="G634" s="21" t="s">
        <v>2502</v>
      </c>
      <c r="H634" s="21" t="s">
        <v>36</v>
      </c>
      <c r="I634" s="21" t="s">
        <v>2503</v>
      </c>
      <c r="J634" s="21" t="s">
        <v>965</v>
      </c>
      <c r="K634" s="21" t="s">
        <v>122</v>
      </c>
      <c r="L634" s="27"/>
      <c r="M634" s="15"/>
      <c r="N634" s="15"/>
      <c r="O634" s="15"/>
    </row>
    <row r="635" ht="22.5" customHeight="1">
      <c r="A635" s="32" t="str">
        <f t="shared" si="1"/>
        <v>3/2026</v>
      </c>
      <c r="B635" s="25">
        <v>46083.73570065972</v>
      </c>
      <c r="C635" s="21" t="s">
        <v>115</v>
      </c>
      <c r="D635" s="21" t="s">
        <v>2504</v>
      </c>
      <c r="E635" s="21">
        <v>9.41409336E8</v>
      </c>
      <c r="F635" s="21" t="s">
        <v>118</v>
      </c>
      <c r="G635" s="21" t="s">
        <v>178</v>
      </c>
      <c r="H635" s="21" t="s">
        <v>36</v>
      </c>
      <c r="I635" s="21" t="s">
        <v>2505</v>
      </c>
      <c r="J635" s="21" t="s">
        <v>965</v>
      </c>
      <c r="K635" s="21" t="s">
        <v>122</v>
      </c>
      <c r="L635" s="27"/>
      <c r="M635" s="15"/>
      <c r="N635" s="15"/>
      <c r="O635" s="15"/>
    </row>
    <row r="636" ht="22.5" customHeight="1">
      <c r="A636" s="32" t="str">
        <f t="shared" si="1"/>
        <v>3/2026</v>
      </c>
      <c r="B636" s="25">
        <v>46083.73672862268</v>
      </c>
      <c r="C636" s="21" t="s">
        <v>115</v>
      </c>
      <c r="D636" s="21" t="s">
        <v>2506</v>
      </c>
      <c r="E636" s="26" t="s">
        <v>2507</v>
      </c>
      <c r="F636" s="21" t="s">
        <v>118</v>
      </c>
      <c r="G636" s="21" t="s">
        <v>178</v>
      </c>
      <c r="H636" s="21" t="s">
        <v>36</v>
      </c>
      <c r="I636" s="21" t="s">
        <v>2508</v>
      </c>
      <c r="J636" s="21" t="s">
        <v>965</v>
      </c>
      <c r="K636" s="21" t="s">
        <v>122</v>
      </c>
      <c r="L636" s="27"/>
      <c r="M636" s="15"/>
      <c r="N636" s="15"/>
      <c r="O636" s="15"/>
    </row>
    <row r="637" ht="22.5" customHeight="1">
      <c r="A637" s="32" t="str">
        <f t="shared" si="1"/>
        <v>3/2026</v>
      </c>
      <c r="B637" s="25">
        <v>46083.737952881944</v>
      </c>
      <c r="C637" s="21" t="s">
        <v>115</v>
      </c>
      <c r="D637" s="21" t="s">
        <v>2450</v>
      </c>
      <c r="E637" s="26" t="s">
        <v>1934</v>
      </c>
      <c r="F637" s="21" t="s">
        <v>118</v>
      </c>
      <c r="G637" s="21" t="s">
        <v>2509</v>
      </c>
      <c r="H637" s="21" t="s">
        <v>141</v>
      </c>
      <c r="I637" s="29" t="s">
        <v>2510</v>
      </c>
      <c r="J637" s="21" t="s">
        <v>1273</v>
      </c>
      <c r="K637" s="21" t="s">
        <v>122</v>
      </c>
      <c r="L637" s="27"/>
      <c r="M637" s="15"/>
      <c r="N637" s="15"/>
      <c r="O637" s="15"/>
    </row>
    <row r="638" ht="22.5" customHeight="1">
      <c r="A638" s="32" t="str">
        <f t="shared" si="1"/>
        <v>3/2026</v>
      </c>
      <c r="B638" s="25">
        <v>46083.885028159726</v>
      </c>
      <c r="C638" s="21" t="s">
        <v>56</v>
      </c>
      <c r="D638" s="21" t="s">
        <v>2511</v>
      </c>
      <c r="E638" s="26" t="s">
        <v>2512</v>
      </c>
      <c r="F638" s="21" t="s">
        <v>18</v>
      </c>
      <c r="G638" s="21">
        <v>5676.0</v>
      </c>
      <c r="H638" s="21" t="s">
        <v>44</v>
      </c>
      <c r="I638" s="21" t="s">
        <v>2513</v>
      </c>
      <c r="J638" s="21" t="s">
        <v>55</v>
      </c>
      <c r="K638" s="21">
        <v>1.84825082100263E14</v>
      </c>
      <c r="L638" s="27"/>
      <c r="M638" s="15"/>
      <c r="N638" s="15"/>
      <c r="O638" s="15"/>
    </row>
    <row r="639" ht="22.5" customHeight="1">
      <c r="A639" s="32" t="str">
        <f t="shared" si="1"/>
        <v>3/2026</v>
      </c>
      <c r="B639" s="25">
        <v>46083.93420423611</v>
      </c>
      <c r="C639" s="21" t="s">
        <v>32</v>
      </c>
      <c r="D639" s="21" t="s">
        <v>2473</v>
      </c>
      <c r="E639" s="26" t="s">
        <v>2514</v>
      </c>
      <c r="F639" s="21" t="s">
        <v>18</v>
      </c>
      <c r="G639" s="21" t="s">
        <v>2515</v>
      </c>
      <c r="H639" s="21" t="s">
        <v>36</v>
      </c>
      <c r="I639" s="21" t="s">
        <v>2516</v>
      </c>
      <c r="J639" s="21" t="s">
        <v>199</v>
      </c>
      <c r="K639" s="21">
        <v>8.92822070100105E14</v>
      </c>
      <c r="L639" s="27"/>
      <c r="M639" s="15"/>
      <c r="N639" s="15"/>
      <c r="O639" s="15"/>
    </row>
    <row r="640" ht="22.5" customHeight="1">
      <c r="A640" s="32" t="str">
        <f t="shared" si="1"/>
        <v>3/2026</v>
      </c>
      <c r="B640" s="25">
        <v>46083.99689386574</v>
      </c>
      <c r="C640" s="21" t="s">
        <v>51</v>
      </c>
      <c r="D640" s="21" t="s">
        <v>2517</v>
      </c>
      <c r="E640" s="26" t="s">
        <v>2518</v>
      </c>
      <c r="F640" s="21" t="s">
        <v>18</v>
      </c>
      <c r="G640" s="21" t="s">
        <v>2519</v>
      </c>
      <c r="H640" s="21" t="s">
        <v>20</v>
      </c>
      <c r="I640" s="21" t="s">
        <v>2520</v>
      </c>
      <c r="J640" s="21" t="s">
        <v>771</v>
      </c>
      <c r="K640" s="21">
        <v>1.83825082100093E14</v>
      </c>
      <c r="L640" s="27"/>
      <c r="M640" s="15"/>
      <c r="N640" s="15"/>
      <c r="O640" s="15"/>
    </row>
    <row r="641" ht="22.5" customHeight="1">
      <c r="A641" s="32" t="str">
        <f t="shared" si="1"/>
        <v>3/2026</v>
      </c>
      <c r="B641" s="25">
        <v>46083.99862653935</v>
      </c>
      <c r="C641" s="21" t="s">
        <v>51</v>
      </c>
      <c r="D641" s="21" t="s">
        <v>2521</v>
      </c>
      <c r="E641" s="26" t="s">
        <v>2518</v>
      </c>
      <c r="F641" s="21" t="s">
        <v>18</v>
      </c>
      <c r="G641" s="21" t="s">
        <v>30</v>
      </c>
      <c r="H641" s="21" t="s">
        <v>20</v>
      </c>
      <c r="I641" s="21" t="s">
        <v>2522</v>
      </c>
      <c r="J641" s="21" t="s">
        <v>771</v>
      </c>
      <c r="K641" s="21">
        <v>1.86825082100117E14</v>
      </c>
      <c r="L641" s="27"/>
      <c r="M641" s="15"/>
      <c r="N641" s="15"/>
      <c r="O641" s="15"/>
    </row>
    <row r="642" ht="22.5" customHeight="1">
      <c r="A642" s="32" t="str">
        <f t="shared" si="1"/>
        <v>3/2026</v>
      </c>
      <c r="B642" s="25">
        <v>46084.4036353125</v>
      </c>
      <c r="C642" s="21" t="s">
        <v>51</v>
      </c>
      <c r="D642" s="21" t="s">
        <v>480</v>
      </c>
      <c r="E642" s="26" t="s">
        <v>2523</v>
      </c>
      <c r="F642" s="21" t="s">
        <v>18</v>
      </c>
      <c r="G642" s="21" t="s">
        <v>2519</v>
      </c>
      <c r="H642" s="21" t="s">
        <v>36</v>
      </c>
      <c r="I642" s="21" t="s">
        <v>2524</v>
      </c>
      <c r="J642" s="21" t="s">
        <v>771</v>
      </c>
      <c r="K642" s="21">
        <v>1.39823112300429E14</v>
      </c>
      <c r="L642" s="27"/>
      <c r="M642" s="15"/>
      <c r="N642" s="15"/>
      <c r="O642" s="15"/>
    </row>
    <row r="643" ht="22.5" customHeight="1">
      <c r="A643" s="32" t="str">
        <f t="shared" si="1"/>
        <v>3/2026</v>
      </c>
      <c r="B643" s="25">
        <v>46084.43078804398</v>
      </c>
      <c r="C643" s="21" t="s">
        <v>710</v>
      </c>
      <c r="D643" s="21" t="s">
        <v>2525</v>
      </c>
      <c r="E643" s="26" t="s">
        <v>2526</v>
      </c>
      <c r="F643" s="21" t="s">
        <v>713</v>
      </c>
      <c r="G643" s="21" t="s">
        <v>2527</v>
      </c>
      <c r="H643" s="21" t="s">
        <v>2528</v>
      </c>
      <c r="I643" s="21" t="s">
        <v>2529</v>
      </c>
      <c r="J643" s="21" t="s">
        <v>2530</v>
      </c>
      <c r="K643" s="21">
        <v>1.85825082200123E14</v>
      </c>
      <c r="L643" s="27"/>
      <c r="M643" s="15"/>
      <c r="N643" s="15"/>
      <c r="O643" s="15"/>
    </row>
    <row r="644" ht="22.5" customHeight="1">
      <c r="A644" s="32" t="str">
        <f t="shared" si="1"/>
        <v>3/2026</v>
      </c>
      <c r="B644" s="25">
        <v>46084.67058859953</v>
      </c>
      <c r="C644" s="21" t="s">
        <v>214</v>
      </c>
      <c r="D644" s="21" t="s">
        <v>2531</v>
      </c>
      <c r="E644" s="26" t="s">
        <v>2532</v>
      </c>
      <c r="F644" s="21" t="s">
        <v>18</v>
      </c>
      <c r="G644" s="21" t="s">
        <v>2533</v>
      </c>
      <c r="H644" s="21" t="s">
        <v>36</v>
      </c>
      <c r="I644" s="21" t="s">
        <v>2534</v>
      </c>
      <c r="J644" s="21" t="s">
        <v>2535</v>
      </c>
      <c r="K644" s="21">
        <v>1.19824092800149E14</v>
      </c>
      <c r="L644" s="27"/>
      <c r="M644" s="15"/>
      <c r="N644" s="15"/>
      <c r="O644" s="15"/>
    </row>
    <row r="645" ht="22.5" customHeight="1">
      <c r="A645" s="32" t="str">
        <f t="shared" si="1"/>
        <v>3/2026</v>
      </c>
      <c r="B645" s="25">
        <v>46084.85535702546</v>
      </c>
      <c r="C645" s="21" t="s">
        <v>56</v>
      </c>
      <c r="D645" s="21" t="s">
        <v>2536</v>
      </c>
      <c r="E645" s="26" t="s">
        <v>2537</v>
      </c>
      <c r="F645" s="21" t="s">
        <v>18</v>
      </c>
      <c r="G645" s="21">
        <v>5440.0</v>
      </c>
      <c r="H645" s="21" t="s">
        <v>2538</v>
      </c>
      <c r="I645" s="21" t="s">
        <v>2539</v>
      </c>
      <c r="J645" s="21" t="s">
        <v>55</v>
      </c>
      <c r="K645" s="21">
        <v>1.1982102500463E13</v>
      </c>
      <c r="L645" s="27"/>
      <c r="M645" s="15"/>
      <c r="N645" s="15"/>
      <c r="O645" s="15"/>
    </row>
    <row r="646" ht="22.5" customHeight="1">
      <c r="A646" s="32" t="str">
        <f t="shared" si="1"/>
        <v>3/2026</v>
      </c>
      <c r="B646" s="25">
        <v>46084.89823697916</v>
      </c>
      <c r="C646" s="21" t="s">
        <v>51</v>
      </c>
      <c r="D646" s="21" t="s">
        <v>2540</v>
      </c>
      <c r="E646" s="26" t="s">
        <v>2541</v>
      </c>
      <c r="F646" s="21" t="s">
        <v>18</v>
      </c>
      <c r="G646" s="21">
        <v>5440.0</v>
      </c>
      <c r="H646" s="21" t="s">
        <v>36</v>
      </c>
      <c r="I646" s="21" t="s">
        <v>2542</v>
      </c>
      <c r="J646" s="21" t="s">
        <v>2543</v>
      </c>
      <c r="K646" s="21">
        <v>1.19824092800169E14</v>
      </c>
      <c r="L646" s="27"/>
      <c r="M646" s="15"/>
      <c r="N646" s="15"/>
      <c r="O646" s="15"/>
    </row>
    <row r="647" ht="22.5" customHeight="1">
      <c r="A647" s="32" t="str">
        <f t="shared" si="1"/>
        <v>3/2026</v>
      </c>
      <c r="B647" s="25">
        <v>46084.90006829861</v>
      </c>
      <c r="C647" s="21" t="s">
        <v>51</v>
      </c>
      <c r="D647" s="21" t="s">
        <v>2544</v>
      </c>
      <c r="E647" s="26" t="s">
        <v>2545</v>
      </c>
      <c r="F647" s="21" t="s">
        <v>18</v>
      </c>
      <c r="G647" s="21">
        <v>5440.0</v>
      </c>
      <c r="H647" s="21" t="s">
        <v>36</v>
      </c>
      <c r="I647" s="21" t="s">
        <v>2546</v>
      </c>
      <c r="J647" s="21" t="s">
        <v>1136</v>
      </c>
      <c r="K647" s="21">
        <v>1.19824092800065E14</v>
      </c>
      <c r="L647" s="27"/>
      <c r="M647" s="15"/>
      <c r="N647" s="15"/>
      <c r="O647" s="15"/>
    </row>
    <row r="648" ht="22.5" customHeight="1">
      <c r="A648" s="32" t="str">
        <f t="shared" si="1"/>
        <v>3/2026</v>
      </c>
      <c r="B648" s="25">
        <v>46085.66638900463</v>
      </c>
      <c r="C648" s="21" t="s">
        <v>123</v>
      </c>
      <c r="D648" s="21" t="s">
        <v>2547</v>
      </c>
      <c r="E648" s="26" t="s">
        <v>2548</v>
      </c>
      <c r="F648" s="21" t="s">
        <v>18</v>
      </c>
      <c r="G648" s="21" t="s">
        <v>259</v>
      </c>
      <c r="H648" s="21" t="s">
        <v>36</v>
      </c>
      <c r="I648" s="21" t="s">
        <v>2549</v>
      </c>
      <c r="J648" s="21" t="s">
        <v>2550</v>
      </c>
      <c r="K648" s="21">
        <v>1.39824102800467E14</v>
      </c>
      <c r="L648" s="27"/>
      <c r="M648" s="15"/>
      <c r="N648" s="15"/>
      <c r="O648" s="15"/>
    </row>
    <row r="649" ht="22.5" customHeight="1">
      <c r="A649" s="32" t="str">
        <f t="shared" si="1"/>
        <v>3/2026</v>
      </c>
      <c r="B649" s="25">
        <v>46085.81792923612</v>
      </c>
      <c r="C649" s="21" t="s">
        <v>300</v>
      </c>
      <c r="D649" s="21" t="s">
        <v>2551</v>
      </c>
      <c r="E649" s="26" t="s">
        <v>2552</v>
      </c>
      <c r="F649" s="21" t="s">
        <v>303</v>
      </c>
      <c r="G649" s="21" t="s">
        <v>2553</v>
      </c>
      <c r="H649" s="21" t="s">
        <v>36</v>
      </c>
      <c r="I649" s="21" t="s">
        <v>2554</v>
      </c>
      <c r="J649" s="21" t="s">
        <v>2555</v>
      </c>
      <c r="K649" s="21">
        <v>1.39824092700236E14</v>
      </c>
      <c r="L649" s="27"/>
      <c r="M649" s="15"/>
      <c r="N649" s="15"/>
      <c r="O649" s="15"/>
    </row>
    <row r="650" ht="22.5" customHeight="1">
      <c r="A650" s="32" t="str">
        <f t="shared" si="1"/>
        <v>3/2026</v>
      </c>
      <c r="B650" s="25">
        <v>46085.82371599537</v>
      </c>
      <c r="C650" s="21" t="s">
        <v>618</v>
      </c>
      <c r="D650" s="21" t="s">
        <v>2556</v>
      </c>
      <c r="E650" s="26" t="s">
        <v>2557</v>
      </c>
      <c r="F650" s="21" t="s">
        <v>118</v>
      </c>
      <c r="G650" s="21" t="s">
        <v>2558</v>
      </c>
      <c r="H650" s="21" t="s">
        <v>36</v>
      </c>
      <c r="I650" s="21" t="s">
        <v>2559</v>
      </c>
      <c r="J650" s="21" t="s">
        <v>2560</v>
      </c>
      <c r="K650" s="21">
        <v>1.39824092700211E14</v>
      </c>
      <c r="L650" s="21">
        <v>22.0</v>
      </c>
      <c r="M650" s="15"/>
      <c r="N650" s="15"/>
      <c r="O650" s="15"/>
    </row>
    <row r="651" ht="22.5" customHeight="1">
      <c r="A651" s="32" t="str">
        <f t="shared" si="1"/>
        <v>3/2026</v>
      </c>
      <c r="B651" s="25">
        <v>46085.87184083334</v>
      </c>
      <c r="C651" s="21" t="s">
        <v>123</v>
      </c>
      <c r="D651" s="21" t="s">
        <v>2561</v>
      </c>
      <c r="E651" s="26" t="s">
        <v>333</v>
      </c>
      <c r="F651" s="21" t="s">
        <v>18</v>
      </c>
      <c r="G651" s="21" t="s">
        <v>2562</v>
      </c>
      <c r="H651" s="21" t="s">
        <v>2563</v>
      </c>
      <c r="I651" s="21" t="s">
        <v>2564</v>
      </c>
      <c r="J651" s="21" t="s">
        <v>175</v>
      </c>
      <c r="K651" s="21">
        <v>1.85825082200104E14</v>
      </c>
      <c r="L651" s="27"/>
      <c r="M651" s="15"/>
      <c r="N651" s="15"/>
      <c r="O651" s="15"/>
    </row>
    <row r="652" ht="22.5" customHeight="1">
      <c r="A652" s="32" t="str">
        <f t="shared" si="1"/>
        <v>3/2026</v>
      </c>
      <c r="B652" s="25">
        <v>46086.581381805554</v>
      </c>
      <c r="C652" s="21" t="s">
        <v>605</v>
      </c>
      <c r="D652" s="21" t="s">
        <v>2565</v>
      </c>
      <c r="E652" s="26" t="s">
        <v>607</v>
      </c>
      <c r="F652" s="21" t="s">
        <v>608</v>
      </c>
      <c r="G652" s="21" t="s">
        <v>1603</v>
      </c>
      <c r="H652" s="21" t="s">
        <v>2566</v>
      </c>
      <c r="I652" s="21" t="s">
        <v>2567</v>
      </c>
      <c r="J652" s="21" t="s">
        <v>2568</v>
      </c>
      <c r="K652" s="21">
        <v>1.85825082200064E14</v>
      </c>
      <c r="L652" s="27"/>
      <c r="M652" s="15"/>
      <c r="N652" s="15"/>
      <c r="O652" s="15"/>
    </row>
    <row r="653" ht="22.5" customHeight="1">
      <c r="A653" s="32" t="str">
        <f t="shared" si="1"/>
        <v>3/2026</v>
      </c>
      <c r="B653" s="25">
        <v>46086.65801493055</v>
      </c>
      <c r="C653" s="21" t="s">
        <v>1454</v>
      </c>
      <c r="D653" s="21" t="s">
        <v>1561</v>
      </c>
      <c r="E653" s="26" t="s">
        <v>1562</v>
      </c>
      <c r="F653" s="21" t="s">
        <v>1457</v>
      </c>
      <c r="G653" s="21" t="s">
        <v>217</v>
      </c>
      <c r="H653" s="21" t="s">
        <v>2569</v>
      </c>
      <c r="I653" s="21" t="s">
        <v>2570</v>
      </c>
      <c r="J653" s="21" t="s">
        <v>2571</v>
      </c>
      <c r="K653" s="21">
        <v>1.8582508220006E14</v>
      </c>
      <c r="L653" s="21">
        <v>70.0</v>
      </c>
      <c r="M653" s="15"/>
      <c r="N653" s="15"/>
      <c r="O653" s="15"/>
    </row>
    <row r="654" ht="22.5" customHeight="1">
      <c r="A654" s="32" t="str">
        <f t="shared" si="1"/>
        <v>3/2026</v>
      </c>
      <c r="B654" s="25">
        <v>46086.682383148145</v>
      </c>
      <c r="C654" s="21" t="s">
        <v>32</v>
      </c>
      <c r="D654" s="21" t="s">
        <v>2572</v>
      </c>
      <c r="E654" s="26" t="s">
        <v>2573</v>
      </c>
      <c r="F654" s="21" t="s">
        <v>18</v>
      </c>
      <c r="G654" s="21" t="s">
        <v>2368</v>
      </c>
      <c r="H654" s="21" t="s">
        <v>36</v>
      </c>
      <c r="I654" s="21" t="s">
        <v>2574</v>
      </c>
      <c r="J654" s="21" t="s">
        <v>199</v>
      </c>
      <c r="K654" s="21">
        <v>1.39824092700373E14</v>
      </c>
      <c r="L654" s="27"/>
      <c r="M654" s="15"/>
      <c r="N654" s="15"/>
      <c r="O654" s="15"/>
    </row>
    <row r="655" ht="22.5" customHeight="1">
      <c r="A655" s="32" t="str">
        <f t="shared" si="1"/>
        <v>3/2026</v>
      </c>
      <c r="B655" s="25">
        <v>46086.683028541665</v>
      </c>
      <c r="C655" s="21" t="s">
        <v>2479</v>
      </c>
      <c r="D655" s="21" t="s">
        <v>2575</v>
      </c>
      <c r="E655" s="26" t="s">
        <v>2576</v>
      </c>
      <c r="F655" s="21" t="s">
        <v>1061</v>
      </c>
      <c r="G655" s="21" t="s">
        <v>2577</v>
      </c>
      <c r="H655" s="21" t="s">
        <v>36</v>
      </c>
      <c r="I655" s="21" t="s">
        <v>2578</v>
      </c>
      <c r="J655" s="21" t="s">
        <v>2579</v>
      </c>
      <c r="K655" s="21">
        <v>1.19821080500125E14</v>
      </c>
      <c r="L655" s="21">
        <v>50.0</v>
      </c>
      <c r="M655" s="15"/>
      <c r="N655" s="15"/>
      <c r="O655" s="15"/>
    </row>
    <row r="656" ht="22.5" customHeight="1">
      <c r="A656" s="32" t="str">
        <f t="shared" si="1"/>
        <v>3/2026</v>
      </c>
      <c r="B656" s="25">
        <v>46087.29519071759</v>
      </c>
      <c r="C656" s="21" t="s">
        <v>132</v>
      </c>
      <c r="D656" s="21" t="s">
        <v>2580</v>
      </c>
      <c r="E656" s="26" t="s">
        <v>2518</v>
      </c>
      <c r="F656" s="21" t="s">
        <v>18</v>
      </c>
      <c r="G656" s="21" t="s">
        <v>1415</v>
      </c>
      <c r="H656" s="21" t="s">
        <v>20</v>
      </c>
      <c r="I656" s="21" t="s">
        <v>2581</v>
      </c>
      <c r="J656" s="21" t="s">
        <v>2301</v>
      </c>
      <c r="K656" s="21">
        <v>1.83825082100071E14</v>
      </c>
      <c r="L656" s="27"/>
      <c r="M656" s="15"/>
      <c r="N656" s="15"/>
      <c r="O656" s="15"/>
    </row>
    <row r="657" ht="22.5" customHeight="1">
      <c r="A657" s="32" t="str">
        <f t="shared" si="1"/>
        <v>3/2026</v>
      </c>
      <c r="B657" s="25">
        <v>46087.29734582176</v>
      </c>
      <c r="C657" s="21" t="s">
        <v>132</v>
      </c>
      <c r="D657" s="21" t="s">
        <v>2582</v>
      </c>
      <c r="E657" s="26" t="s">
        <v>2583</v>
      </c>
      <c r="F657" s="21" t="s">
        <v>18</v>
      </c>
      <c r="G657" s="21">
        <v>5440.0</v>
      </c>
      <c r="H657" s="21" t="s">
        <v>36</v>
      </c>
      <c r="I657" s="21" t="s">
        <v>2584</v>
      </c>
      <c r="J657" s="21" t="s">
        <v>55</v>
      </c>
      <c r="K657" s="21">
        <v>1.19821040600516E14</v>
      </c>
      <c r="L657" s="27"/>
      <c r="M657" s="15"/>
      <c r="N657" s="15"/>
      <c r="O657" s="15"/>
    </row>
    <row r="658" ht="22.5" customHeight="1">
      <c r="A658" s="32" t="str">
        <f t="shared" si="1"/>
        <v>3/2026</v>
      </c>
      <c r="B658" s="25">
        <v>46087.29964134259</v>
      </c>
      <c r="C658" s="21" t="s">
        <v>132</v>
      </c>
      <c r="D658" s="21" t="s">
        <v>2585</v>
      </c>
      <c r="E658" s="26" t="s">
        <v>2586</v>
      </c>
      <c r="F658" s="21" t="s">
        <v>18</v>
      </c>
      <c r="G658" s="21">
        <v>5649.0</v>
      </c>
      <c r="H658" s="21" t="s">
        <v>36</v>
      </c>
      <c r="I658" s="21" t="s">
        <v>2587</v>
      </c>
      <c r="J658" s="21" t="s">
        <v>55</v>
      </c>
      <c r="K658" s="21">
        <v>8.92823021300134E14</v>
      </c>
      <c r="L658" s="27"/>
      <c r="M658" s="15"/>
      <c r="N658" s="15"/>
      <c r="O658" s="15"/>
    </row>
    <row r="659" ht="22.5" customHeight="1">
      <c r="A659" s="32" t="str">
        <f t="shared" si="1"/>
        <v>3/2026</v>
      </c>
      <c r="B659" s="25">
        <v>46087.30259803241</v>
      </c>
      <c r="C659" s="21" t="s">
        <v>132</v>
      </c>
      <c r="D659" s="21" t="s">
        <v>2588</v>
      </c>
      <c r="E659" s="26" t="s">
        <v>2589</v>
      </c>
      <c r="F659" s="21" t="s">
        <v>18</v>
      </c>
      <c r="G659" s="21">
        <v>5640.0</v>
      </c>
      <c r="H659" s="21" t="s">
        <v>36</v>
      </c>
      <c r="I659" s="21" t="s">
        <v>2590</v>
      </c>
      <c r="J659" s="21" t="s">
        <v>55</v>
      </c>
      <c r="K659" s="21">
        <v>8.92823021300183E14</v>
      </c>
      <c r="L659" s="27"/>
      <c r="M659" s="15"/>
      <c r="N659" s="15"/>
      <c r="O659" s="15"/>
    </row>
    <row r="660" ht="22.5" customHeight="1">
      <c r="A660" s="32" t="str">
        <f t="shared" si="1"/>
        <v>3/2026</v>
      </c>
      <c r="B660" s="25">
        <v>46087.52719929398</v>
      </c>
      <c r="C660" s="21" t="s">
        <v>123</v>
      </c>
      <c r="D660" s="21" t="s">
        <v>2591</v>
      </c>
      <c r="E660" s="26" t="s">
        <v>2592</v>
      </c>
      <c r="F660" s="21" t="s">
        <v>18</v>
      </c>
      <c r="G660" s="21" t="s">
        <v>2593</v>
      </c>
      <c r="H660" s="21" t="s">
        <v>2594</v>
      </c>
      <c r="I660" s="21" t="s">
        <v>2595</v>
      </c>
      <c r="J660" s="21" t="s">
        <v>2064</v>
      </c>
      <c r="K660" s="21">
        <v>1.84825082100117E14</v>
      </c>
      <c r="L660" s="27"/>
      <c r="M660" s="15"/>
      <c r="N660" s="15"/>
      <c r="O660" s="15"/>
    </row>
    <row r="661" ht="22.5" customHeight="1">
      <c r="A661" s="32" t="str">
        <f t="shared" si="1"/>
        <v>3/2026</v>
      </c>
      <c r="B661" s="25">
        <v>46087.55940398148</v>
      </c>
      <c r="C661" s="21" t="s">
        <v>618</v>
      </c>
      <c r="D661" s="21" t="s">
        <v>2596</v>
      </c>
      <c r="E661" s="26" t="s">
        <v>2597</v>
      </c>
      <c r="F661" s="21" t="s">
        <v>118</v>
      </c>
      <c r="G661" s="21" t="s">
        <v>2598</v>
      </c>
      <c r="H661" s="21" t="s">
        <v>36</v>
      </c>
      <c r="I661" s="21" t="s">
        <v>2599</v>
      </c>
      <c r="J661" s="21" t="s">
        <v>1903</v>
      </c>
      <c r="K661" s="21">
        <v>1.39824092700413E14</v>
      </c>
      <c r="L661" s="21">
        <v>6.0</v>
      </c>
      <c r="M661" s="15"/>
      <c r="N661" s="15"/>
      <c r="O661" s="15"/>
    </row>
    <row r="662" ht="22.5" customHeight="1">
      <c r="A662" s="32" t="str">
        <f t="shared" si="1"/>
        <v>3/2026</v>
      </c>
      <c r="B662" s="25">
        <v>46087.56013008102</v>
      </c>
      <c r="C662" s="21" t="s">
        <v>1890</v>
      </c>
      <c r="D662" s="21" t="s">
        <v>2600</v>
      </c>
      <c r="E662" s="26" t="s">
        <v>2601</v>
      </c>
      <c r="F662" s="21" t="s">
        <v>1892</v>
      </c>
      <c r="G662" s="21">
        <v>5676.0</v>
      </c>
      <c r="H662" s="21" t="s">
        <v>44</v>
      </c>
      <c r="I662" s="21" t="s">
        <v>2602</v>
      </c>
      <c r="J662" s="21" t="s">
        <v>2603</v>
      </c>
      <c r="K662" s="21">
        <v>1.84825082100193E14</v>
      </c>
      <c r="L662" s="27"/>
      <c r="M662" s="15"/>
      <c r="N662" s="15"/>
      <c r="O662" s="15"/>
    </row>
    <row r="663" ht="22.5" customHeight="1">
      <c r="A663" s="32" t="str">
        <f t="shared" si="1"/>
        <v>3/2026</v>
      </c>
      <c r="B663" s="25">
        <v>46087.67223373843</v>
      </c>
      <c r="C663" s="21" t="s">
        <v>115</v>
      </c>
      <c r="D663" s="21" t="s">
        <v>200</v>
      </c>
      <c r="E663" s="26" t="s">
        <v>2604</v>
      </c>
      <c r="F663" s="21" t="s">
        <v>118</v>
      </c>
      <c r="G663" s="21" t="s">
        <v>178</v>
      </c>
      <c r="H663" s="21" t="s">
        <v>36</v>
      </c>
      <c r="I663" s="21" t="s">
        <v>2605</v>
      </c>
      <c r="J663" s="21" t="s">
        <v>965</v>
      </c>
      <c r="K663" s="21" t="s">
        <v>122</v>
      </c>
      <c r="L663" s="21">
        <v>19.0</v>
      </c>
      <c r="M663" s="15"/>
      <c r="N663" s="15"/>
      <c r="O663" s="15"/>
    </row>
    <row r="664" ht="22.5" customHeight="1">
      <c r="A664" s="32" t="str">
        <f t="shared" si="1"/>
        <v>3/2026</v>
      </c>
      <c r="B664" s="25">
        <v>46087.67369001158</v>
      </c>
      <c r="C664" s="21" t="s">
        <v>115</v>
      </c>
      <c r="D664" s="21" t="s">
        <v>2606</v>
      </c>
      <c r="E664" s="26" t="s">
        <v>2607</v>
      </c>
      <c r="F664" s="21" t="s">
        <v>118</v>
      </c>
      <c r="G664" s="21" t="s">
        <v>1295</v>
      </c>
      <c r="H664" s="21" t="s">
        <v>36</v>
      </c>
      <c r="I664" s="21" t="s">
        <v>2608</v>
      </c>
      <c r="J664" s="21" t="s">
        <v>965</v>
      </c>
      <c r="K664" s="21" t="s">
        <v>122</v>
      </c>
      <c r="M664" s="15"/>
      <c r="N664" s="15"/>
      <c r="O664" s="15"/>
    </row>
    <row r="665" ht="22.5" customHeight="1">
      <c r="A665" s="32" t="str">
        <f t="shared" si="1"/>
        <v>3/2026</v>
      </c>
      <c r="B665" s="25">
        <v>46087.67503061343</v>
      </c>
      <c r="C665" s="21" t="s">
        <v>115</v>
      </c>
      <c r="D665" s="21" t="s">
        <v>1269</v>
      </c>
      <c r="E665" s="26" t="s">
        <v>1753</v>
      </c>
      <c r="F665" s="21" t="s">
        <v>118</v>
      </c>
      <c r="G665" s="21" t="s">
        <v>1939</v>
      </c>
      <c r="H665" s="21" t="s">
        <v>141</v>
      </c>
      <c r="I665" s="29" t="s">
        <v>2609</v>
      </c>
      <c r="J665" s="21" t="s">
        <v>2610</v>
      </c>
      <c r="K665" s="21" t="s">
        <v>122</v>
      </c>
      <c r="M665" s="15"/>
      <c r="N665" s="15"/>
      <c r="O665" s="15"/>
    </row>
    <row r="666" ht="22.5" customHeight="1">
      <c r="A666" s="32" t="str">
        <f t="shared" si="1"/>
        <v>3/2026</v>
      </c>
      <c r="B666" s="25">
        <v>46087.70825650463</v>
      </c>
      <c r="C666" s="21" t="s">
        <v>32</v>
      </c>
      <c r="D666" s="21" t="s">
        <v>655</v>
      </c>
      <c r="E666" s="26" t="s">
        <v>2611</v>
      </c>
      <c r="F666" s="21" t="s">
        <v>18</v>
      </c>
      <c r="G666" s="21" t="s">
        <v>2185</v>
      </c>
      <c r="H666" s="21" t="s">
        <v>36</v>
      </c>
      <c r="I666" s="21" t="s">
        <v>2612</v>
      </c>
      <c r="K666" s="21">
        <v>1.39824102800449E14</v>
      </c>
      <c r="M666" s="15"/>
      <c r="N666" s="15"/>
      <c r="O666" s="15"/>
    </row>
    <row r="667" ht="22.5" customHeight="1">
      <c r="A667" s="32" t="str">
        <f t="shared" si="1"/>
        <v>3/2026</v>
      </c>
      <c r="B667" s="25">
        <v>46087.83793815972</v>
      </c>
      <c r="C667" s="21" t="s">
        <v>618</v>
      </c>
      <c r="D667" s="21" t="s">
        <v>2613</v>
      </c>
      <c r="E667" s="26" t="s">
        <v>2614</v>
      </c>
      <c r="F667" s="21" t="s">
        <v>118</v>
      </c>
      <c r="G667" s="21" t="s">
        <v>339</v>
      </c>
      <c r="H667" s="21" t="s">
        <v>20</v>
      </c>
      <c r="I667" s="21" t="s">
        <v>2615</v>
      </c>
      <c r="J667" s="21" t="s">
        <v>2616</v>
      </c>
      <c r="K667" s="21">
        <v>1.86825082100082E14</v>
      </c>
      <c r="L667" s="21">
        <v>15.0</v>
      </c>
      <c r="M667" s="15"/>
      <c r="N667" s="15"/>
      <c r="O667" s="15"/>
    </row>
    <row r="668" ht="22.5" customHeight="1">
      <c r="A668" s="32" t="str">
        <f t="shared" si="1"/>
        <v>3/2026</v>
      </c>
      <c r="B668" s="25">
        <v>46087.95081369213</v>
      </c>
      <c r="C668" s="21" t="s">
        <v>56</v>
      </c>
      <c r="D668" s="21" t="s">
        <v>2617</v>
      </c>
      <c r="E668" s="26" t="s">
        <v>2618</v>
      </c>
      <c r="F668" s="21" t="s">
        <v>18</v>
      </c>
      <c r="G668" s="21" t="s">
        <v>19</v>
      </c>
      <c r="H668" s="21" t="s">
        <v>20</v>
      </c>
      <c r="I668" s="21" t="s">
        <v>2619</v>
      </c>
      <c r="K668" s="21" t="s">
        <v>2620</v>
      </c>
      <c r="M668" s="15"/>
      <c r="N668" s="15"/>
      <c r="O668" s="15"/>
    </row>
    <row r="669" ht="22.5" customHeight="1">
      <c r="A669" s="32" t="str">
        <f t="shared" si="1"/>
        <v>3/2026</v>
      </c>
      <c r="B669" s="25">
        <v>46087.952848981484</v>
      </c>
      <c r="C669" s="21" t="s">
        <v>56</v>
      </c>
      <c r="D669" s="21" t="s">
        <v>2621</v>
      </c>
      <c r="E669" s="26" t="s">
        <v>2622</v>
      </c>
      <c r="F669" s="21" t="s">
        <v>18</v>
      </c>
      <c r="G669" s="21">
        <v>5440.0</v>
      </c>
      <c r="H669" s="21" t="s">
        <v>36</v>
      </c>
      <c r="I669" s="21" t="s">
        <v>2623</v>
      </c>
      <c r="K669" s="21">
        <v>1.19823072500101E14</v>
      </c>
      <c r="M669" s="15"/>
      <c r="N669" s="15"/>
      <c r="O669" s="15"/>
    </row>
    <row r="670" ht="22.5" customHeight="1">
      <c r="A670" s="32" t="str">
        <f t="shared" si="1"/>
        <v>3/2026</v>
      </c>
      <c r="B670" s="25">
        <v>46088.609308645835</v>
      </c>
      <c r="C670" s="21" t="s">
        <v>214</v>
      </c>
      <c r="D670" s="21" t="s">
        <v>2624</v>
      </c>
      <c r="E670" s="26" t="s">
        <v>2625</v>
      </c>
      <c r="F670" s="21" t="s">
        <v>18</v>
      </c>
      <c r="G670" s="21" t="s">
        <v>2626</v>
      </c>
      <c r="H670" s="21" t="s">
        <v>36</v>
      </c>
      <c r="I670" s="21" t="s">
        <v>2627</v>
      </c>
      <c r="J670" s="21" t="s">
        <v>2628</v>
      </c>
      <c r="K670" s="21">
        <v>8.92822070100119E14</v>
      </c>
      <c r="M670" s="15"/>
      <c r="N670" s="15"/>
      <c r="O670" s="15"/>
    </row>
    <row r="671" ht="22.5" customHeight="1">
      <c r="A671" s="32" t="str">
        <f t="shared" si="1"/>
        <v>3/2026</v>
      </c>
      <c r="B671" s="25">
        <v>46088.717444016205</v>
      </c>
      <c r="C671" s="21" t="s">
        <v>32</v>
      </c>
      <c r="D671" s="21" t="s">
        <v>2629</v>
      </c>
      <c r="E671" s="26" t="s">
        <v>2630</v>
      </c>
      <c r="F671" s="21" t="s">
        <v>18</v>
      </c>
      <c r="G671" s="21" t="s">
        <v>2368</v>
      </c>
      <c r="H671" s="21" t="s">
        <v>36</v>
      </c>
      <c r="I671" s="21" t="s">
        <v>2631</v>
      </c>
      <c r="K671" s="21">
        <v>1.39824091100113E14</v>
      </c>
      <c r="M671" s="15"/>
      <c r="N671" s="15"/>
      <c r="O671" s="15"/>
    </row>
    <row r="672" ht="22.5" customHeight="1">
      <c r="A672" s="32" t="str">
        <f t="shared" si="1"/>
        <v>3/2026</v>
      </c>
      <c r="B672" s="25">
        <v>46088.73910427083</v>
      </c>
      <c r="C672" s="21" t="s">
        <v>1181</v>
      </c>
      <c r="D672" s="21" t="s">
        <v>2632</v>
      </c>
      <c r="E672" s="26" t="s">
        <v>2107</v>
      </c>
      <c r="F672" s="21" t="s">
        <v>18</v>
      </c>
      <c r="G672" s="21" t="s">
        <v>1918</v>
      </c>
      <c r="H672" s="21" t="s">
        <v>141</v>
      </c>
      <c r="I672" s="29" t="s">
        <v>2633</v>
      </c>
      <c r="J672" s="21" t="s">
        <v>2634</v>
      </c>
      <c r="K672" s="21" t="s">
        <v>55</v>
      </c>
      <c r="L672" s="21">
        <v>0.0</v>
      </c>
      <c r="M672" s="15"/>
      <c r="N672" s="15"/>
      <c r="O672" s="15"/>
    </row>
    <row r="673" ht="22.5" customHeight="1">
      <c r="A673" s="32" t="str">
        <f t="shared" si="1"/>
        <v>3/2026</v>
      </c>
      <c r="B673" s="25">
        <v>46088.74191369213</v>
      </c>
      <c r="C673" s="21" t="s">
        <v>1181</v>
      </c>
      <c r="D673" s="21" t="s">
        <v>2635</v>
      </c>
      <c r="E673" s="26" t="s">
        <v>2636</v>
      </c>
      <c r="F673" s="21" t="s">
        <v>18</v>
      </c>
      <c r="G673" s="21" t="s">
        <v>1505</v>
      </c>
      <c r="H673" s="21" t="s">
        <v>141</v>
      </c>
      <c r="I673" s="29" t="s">
        <v>2637</v>
      </c>
      <c r="J673" s="21" t="s">
        <v>2638</v>
      </c>
      <c r="K673" s="21" t="s">
        <v>55</v>
      </c>
      <c r="L673" s="21">
        <v>17.0</v>
      </c>
      <c r="M673" s="15"/>
      <c r="N673" s="15"/>
      <c r="O673" s="15"/>
    </row>
    <row r="674" ht="22.5" customHeight="1">
      <c r="A674" s="32" t="str">
        <f t="shared" si="1"/>
        <v>3/2026</v>
      </c>
      <c r="B674" s="25">
        <v>46088.744997754635</v>
      </c>
      <c r="C674" s="21" t="s">
        <v>1181</v>
      </c>
      <c r="D674" s="21" t="s">
        <v>2639</v>
      </c>
      <c r="E674" s="26" t="s">
        <v>2640</v>
      </c>
      <c r="F674" s="21" t="s">
        <v>18</v>
      </c>
      <c r="G674" s="21" t="s">
        <v>1505</v>
      </c>
      <c r="H674" s="21" t="s">
        <v>141</v>
      </c>
      <c r="I674" s="29" t="s">
        <v>2641</v>
      </c>
      <c r="J674" s="21" t="s">
        <v>2642</v>
      </c>
      <c r="K674" s="21" t="s">
        <v>55</v>
      </c>
      <c r="L674" s="21">
        <v>15.0</v>
      </c>
      <c r="M674" s="15"/>
      <c r="N674" s="15"/>
      <c r="O674" s="15"/>
    </row>
    <row r="675" ht="22.5" customHeight="1">
      <c r="A675" s="32" t="str">
        <f t="shared" si="1"/>
        <v>3/2026</v>
      </c>
      <c r="B675" s="25">
        <v>46088.82658978009</v>
      </c>
      <c r="C675" s="21" t="s">
        <v>22</v>
      </c>
      <c r="D675" s="21" t="s">
        <v>23</v>
      </c>
      <c r="E675" s="26" t="s">
        <v>1739</v>
      </c>
      <c r="F675" s="21" t="s">
        <v>18</v>
      </c>
      <c r="G675" s="21" t="s">
        <v>2643</v>
      </c>
      <c r="H675" s="21" t="s">
        <v>20</v>
      </c>
      <c r="I675" s="21" t="s">
        <v>2644</v>
      </c>
      <c r="K675" s="21">
        <v>1.96926010400155E14</v>
      </c>
      <c r="M675" s="15"/>
      <c r="N675" s="15"/>
      <c r="O675" s="15"/>
    </row>
    <row r="676" ht="22.5" customHeight="1">
      <c r="A676" s="32" t="str">
        <f t="shared" si="1"/>
        <v>3/2026</v>
      </c>
      <c r="B676" s="25">
        <v>46089.457019988426</v>
      </c>
      <c r="C676" s="21" t="s">
        <v>1181</v>
      </c>
      <c r="D676" s="21" t="s">
        <v>2645</v>
      </c>
      <c r="E676" s="26" t="s">
        <v>2646</v>
      </c>
      <c r="F676" s="21" t="s">
        <v>18</v>
      </c>
      <c r="G676" s="21" t="s">
        <v>1505</v>
      </c>
      <c r="H676" s="21" t="s">
        <v>36</v>
      </c>
      <c r="I676" s="30" t="s">
        <v>2647</v>
      </c>
      <c r="J676" s="21" t="s">
        <v>2648</v>
      </c>
      <c r="K676" s="21">
        <v>1.39822120800296E14</v>
      </c>
      <c r="L676" s="21">
        <v>0.0</v>
      </c>
      <c r="M676" s="15"/>
      <c r="N676" s="15"/>
      <c r="O676" s="15"/>
    </row>
    <row r="677" ht="22.5" customHeight="1">
      <c r="A677" s="32" t="str">
        <f t="shared" si="1"/>
        <v>3/2026</v>
      </c>
      <c r="B677" s="25">
        <v>46089.479196932865</v>
      </c>
      <c r="C677" s="21" t="s">
        <v>123</v>
      </c>
      <c r="D677" s="21" t="s">
        <v>2649</v>
      </c>
      <c r="E677" s="21" t="s">
        <v>2650</v>
      </c>
      <c r="F677" s="21" t="s">
        <v>18</v>
      </c>
      <c r="G677" s="21" t="s">
        <v>2651</v>
      </c>
      <c r="H677" s="21" t="s">
        <v>36</v>
      </c>
      <c r="I677" s="21" t="s">
        <v>2652</v>
      </c>
      <c r="J677" s="21" t="s">
        <v>2064</v>
      </c>
      <c r="K677" s="21">
        <v>1.39823112300413E14</v>
      </c>
      <c r="M677" s="15"/>
      <c r="N677" s="15"/>
      <c r="O677" s="15"/>
    </row>
    <row r="678" ht="22.5" customHeight="1">
      <c r="A678" s="32" t="str">
        <f t="shared" si="1"/>
        <v>3/2026</v>
      </c>
      <c r="B678" s="25">
        <v>46089.50958038194</v>
      </c>
      <c r="C678" s="21" t="s">
        <v>22</v>
      </c>
      <c r="D678" s="21" t="s">
        <v>2653</v>
      </c>
      <c r="E678" s="26" t="s">
        <v>2654</v>
      </c>
      <c r="F678" s="21" t="s">
        <v>18</v>
      </c>
      <c r="G678" s="21" t="s">
        <v>2655</v>
      </c>
      <c r="H678" s="21" t="s">
        <v>20</v>
      </c>
      <c r="I678" s="21" t="s">
        <v>2656</v>
      </c>
      <c r="J678" s="21" t="s">
        <v>2657</v>
      </c>
      <c r="K678" s="21" t="s">
        <v>2658</v>
      </c>
      <c r="M678" s="15"/>
      <c r="N678" s="15"/>
      <c r="O678" s="15"/>
    </row>
    <row r="679" ht="22.5" customHeight="1">
      <c r="A679" s="32" t="str">
        <f t="shared" si="1"/>
        <v>3/2026</v>
      </c>
      <c r="B679" s="25">
        <v>46089.51819983796</v>
      </c>
      <c r="C679" s="21" t="s">
        <v>32</v>
      </c>
      <c r="D679" s="21" t="s">
        <v>2659</v>
      </c>
      <c r="E679" s="26" t="s">
        <v>2660</v>
      </c>
      <c r="F679" s="21" t="s">
        <v>18</v>
      </c>
      <c r="G679" s="21" t="s">
        <v>2368</v>
      </c>
      <c r="H679" s="21" t="s">
        <v>36</v>
      </c>
      <c r="I679" s="21" t="s">
        <v>2661</v>
      </c>
      <c r="K679" s="21">
        <v>1.39824102800378E14</v>
      </c>
      <c r="M679" s="15"/>
      <c r="N679" s="15"/>
      <c r="O679" s="15"/>
    </row>
    <row r="680" ht="22.5" customHeight="1">
      <c r="A680" s="32" t="str">
        <f t="shared" si="1"/>
        <v>3/2026</v>
      </c>
      <c r="B680" s="25">
        <v>46089.86537111111</v>
      </c>
      <c r="C680" s="21" t="s">
        <v>56</v>
      </c>
      <c r="D680" s="21" t="s">
        <v>2662</v>
      </c>
      <c r="E680" s="21">
        <v>9.16140883E8</v>
      </c>
      <c r="F680" s="21" t="s">
        <v>18</v>
      </c>
      <c r="G680" s="21">
        <v>5640.0</v>
      </c>
      <c r="H680" s="21" t="s">
        <v>36</v>
      </c>
      <c r="I680" s="21" t="s">
        <v>2663</v>
      </c>
      <c r="K680" s="21">
        <v>8.92820072100124E14</v>
      </c>
      <c r="M680" s="15"/>
      <c r="N680" s="15"/>
      <c r="O680" s="15"/>
    </row>
    <row r="681" ht="22.5" customHeight="1">
      <c r="A681" s="32" t="str">
        <f t="shared" si="1"/>
        <v>3/2026</v>
      </c>
      <c r="B681" s="25">
        <v>46089.86777592593</v>
      </c>
      <c r="C681" s="21" t="s">
        <v>56</v>
      </c>
      <c r="D681" s="21" t="s">
        <v>2664</v>
      </c>
      <c r="E681" s="26" t="s">
        <v>2665</v>
      </c>
      <c r="F681" s="21" t="s">
        <v>64</v>
      </c>
      <c r="G681" s="21">
        <v>5440.0</v>
      </c>
      <c r="H681" s="21" t="s">
        <v>36</v>
      </c>
      <c r="I681" s="21" t="s">
        <v>2666</v>
      </c>
      <c r="K681" s="21">
        <v>1.19821080500502E14</v>
      </c>
      <c r="L681" s="21">
        <v>70.0</v>
      </c>
      <c r="M681" s="15"/>
      <c r="N681" s="15"/>
      <c r="O681" s="15"/>
    </row>
    <row r="682" ht="22.5" customHeight="1">
      <c r="A682" s="32" t="str">
        <f t="shared" si="1"/>
        <v>3/2026</v>
      </c>
      <c r="B682" s="25">
        <v>46090.39855229166</v>
      </c>
      <c r="C682" s="21" t="s">
        <v>320</v>
      </c>
      <c r="D682" s="21" t="s">
        <v>2667</v>
      </c>
      <c r="E682" s="26" t="s">
        <v>2668</v>
      </c>
      <c r="F682" s="21" t="s">
        <v>812</v>
      </c>
      <c r="G682" s="21">
        <v>5440.0</v>
      </c>
      <c r="H682" s="21" t="s">
        <v>36</v>
      </c>
      <c r="I682" s="21" t="s">
        <v>2669</v>
      </c>
      <c r="K682" s="21" t="s">
        <v>2670</v>
      </c>
      <c r="L682" s="21">
        <v>25.0</v>
      </c>
      <c r="M682" s="15"/>
      <c r="N682" s="15"/>
      <c r="O682" s="15"/>
    </row>
    <row r="683" ht="22.5" customHeight="1">
      <c r="A683" s="32" t="str">
        <f t="shared" si="1"/>
        <v>3/2026</v>
      </c>
      <c r="B683" s="25">
        <v>46090.63065878472</v>
      </c>
      <c r="C683" s="21" t="s">
        <v>618</v>
      </c>
      <c r="D683" s="21" t="s">
        <v>2671</v>
      </c>
      <c r="E683" s="26" t="s">
        <v>2672</v>
      </c>
      <c r="F683" s="21" t="s">
        <v>118</v>
      </c>
      <c r="G683" s="21" t="s">
        <v>2553</v>
      </c>
      <c r="H683" s="21" t="s">
        <v>44</v>
      </c>
      <c r="I683" s="21" t="s">
        <v>2673</v>
      </c>
      <c r="K683" s="21">
        <v>1.83825082100035E14</v>
      </c>
      <c r="L683" s="21">
        <v>40.0</v>
      </c>
      <c r="M683" s="15"/>
      <c r="N683" s="15"/>
      <c r="O683" s="15"/>
    </row>
    <row r="684" ht="22.5" customHeight="1">
      <c r="A684" s="32" t="str">
        <f t="shared" si="1"/>
        <v>3/2026</v>
      </c>
      <c r="B684" s="25">
        <v>46090.64307377315</v>
      </c>
      <c r="C684" s="21" t="s">
        <v>300</v>
      </c>
      <c r="D684" s="21" t="s">
        <v>2674</v>
      </c>
      <c r="E684" s="26" t="s">
        <v>2675</v>
      </c>
      <c r="F684" s="21" t="s">
        <v>303</v>
      </c>
      <c r="G684" s="21" t="s">
        <v>2676</v>
      </c>
      <c r="H684" s="21" t="s">
        <v>44</v>
      </c>
      <c r="I684" s="21" t="s">
        <v>2677</v>
      </c>
      <c r="K684" s="21">
        <v>1.8582508220011E14</v>
      </c>
      <c r="M684" s="15"/>
      <c r="N684" s="15"/>
      <c r="O684" s="15"/>
    </row>
    <row r="685" ht="22.5" customHeight="1">
      <c r="A685" s="32" t="str">
        <f t="shared" si="1"/>
        <v>3/2026</v>
      </c>
      <c r="B685" s="25">
        <v>46090.64617305556</v>
      </c>
      <c r="C685" s="21" t="s">
        <v>22</v>
      </c>
      <c r="D685" s="21" t="s">
        <v>2678</v>
      </c>
      <c r="E685" s="26" t="s">
        <v>2133</v>
      </c>
      <c r="F685" s="21" t="s">
        <v>18</v>
      </c>
      <c r="G685" s="21" t="s">
        <v>2643</v>
      </c>
      <c r="H685" s="21" t="s">
        <v>20</v>
      </c>
      <c r="I685" s="21" t="s">
        <v>2679</v>
      </c>
      <c r="J685" s="21" t="s">
        <v>2680</v>
      </c>
      <c r="K685" s="21">
        <v>1.96926010400014E14</v>
      </c>
      <c r="M685" s="15"/>
      <c r="N685" s="15"/>
      <c r="O685" s="15"/>
    </row>
    <row r="686" ht="22.5" customHeight="1">
      <c r="A686" s="32" t="str">
        <f t="shared" si="1"/>
        <v>3/2026</v>
      </c>
      <c r="B686" s="25">
        <v>46090.73886916667</v>
      </c>
      <c r="C686" s="21" t="s">
        <v>618</v>
      </c>
      <c r="D686" s="21" t="s">
        <v>2681</v>
      </c>
      <c r="E686" s="26" t="s">
        <v>2682</v>
      </c>
      <c r="F686" s="21" t="s">
        <v>118</v>
      </c>
      <c r="G686" s="21" t="s">
        <v>2683</v>
      </c>
      <c r="H686" s="21" t="s">
        <v>36</v>
      </c>
      <c r="I686" s="21" t="s">
        <v>2684</v>
      </c>
      <c r="K686" s="21">
        <v>8.92823021300228E14</v>
      </c>
      <c r="L686" s="21">
        <v>22.0</v>
      </c>
      <c r="M686" s="15"/>
      <c r="N686" s="15"/>
      <c r="O686" s="15"/>
    </row>
    <row r="687" ht="22.5" customHeight="1">
      <c r="A687" s="32" t="str">
        <f t="shared" si="1"/>
        <v>3/2026</v>
      </c>
      <c r="B687" s="25">
        <v>46090.74275990741</v>
      </c>
      <c r="C687" s="21" t="s">
        <v>123</v>
      </c>
      <c r="D687" s="21" t="s">
        <v>2685</v>
      </c>
      <c r="E687" s="26" t="s">
        <v>2686</v>
      </c>
      <c r="F687" s="21" t="s">
        <v>18</v>
      </c>
      <c r="G687" s="21" t="s">
        <v>1957</v>
      </c>
      <c r="H687" s="21" t="s">
        <v>36</v>
      </c>
      <c r="I687" s="21" t="s">
        <v>2687</v>
      </c>
      <c r="J687" s="21" t="s">
        <v>2688</v>
      </c>
      <c r="K687" s="21">
        <v>1.19824072700294E14</v>
      </c>
      <c r="M687" s="15"/>
      <c r="N687" s="15"/>
      <c r="O687" s="15"/>
    </row>
    <row r="688" ht="22.5" customHeight="1">
      <c r="A688" s="32" t="str">
        <f t="shared" si="1"/>
        <v>3/2026</v>
      </c>
      <c r="B688" s="25">
        <v>46090.76600403935</v>
      </c>
      <c r="C688" s="21" t="s">
        <v>32</v>
      </c>
      <c r="D688" s="21" t="s">
        <v>2689</v>
      </c>
      <c r="E688" s="26" t="s">
        <v>2690</v>
      </c>
      <c r="F688" s="21" t="s">
        <v>18</v>
      </c>
      <c r="G688" s="21" t="s">
        <v>2691</v>
      </c>
      <c r="H688" s="21" t="s">
        <v>36</v>
      </c>
      <c r="I688" s="21" t="s">
        <v>2692</v>
      </c>
      <c r="K688" s="21">
        <v>7.82321072200235E14</v>
      </c>
      <c r="M688" s="15"/>
      <c r="N688" s="15"/>
      <c r="O688" s="15"/>
    </row>
    <row r="689" ht="22.5" customHeight="1">
      <c r="A689" s="32" t="str">
        <f t="shared" si="1"/>
        <v>3/2026</v>
      </c>
      <c r="B689" s="25">
        <v>46090.768319930554</v>
      </c>
      <c r="C689" s="21" t="s">
        <v>32</v>
      </c>
      <c r="D689" s="21" t="s">
        <v>2659</v>
      </c>
      <c r="E689" s="26" t="s">
        <v>2660</v>
      </c>
      <c r="F689" s="21" t="s">
        <v>18</v>
      </c>
      <c r="G689" s="21" t="s">
        <v>2693</v>
      </c>
      <c r="H689" s="21" t="s">
        <v>36</v>
      </c>
      <c r="I689" s="21" t="s">
        <v>2694</v>
      </c>
      <c r="K689" s="21">
        <v>1.3982409270004E14</v>
      </c>
      <c r="M689" s="15"/>
      <c r="N689" s="15"/>
      <c r="O689" s="15"/>
    </row>
    <row r="690" ht="22.5" customHeight="1">
      <c r="A690" s="32" t="str">
        <f t="shared" si="1"/>
        <v>3/2026</v>
      </c>
      <c r="B690" s="25">
        <v>46090.79447105324</v>
      </c>
      <c r="C690" s="21" t="s">
        <v>103</v>
      </c>
      <c r="D690" s="21" t="s">
        <v>852</v>
      </c>
      <c r="E690" s="26" t="s">
        <v>2695</v>
      </c>
      <c r="F690" s="21" t="s">
        <v>106</v>
      </c>
      <c r="G690" s="21" t="s">
        <v>19</v>
      </c>
      <c r="H690" s="21" t="s">
        <v>20</v>
      </c>
      <c r="I690" s="21" t="s">
        <v>2696</v>
      </c>
      <c r="J690" s="21" t="s">
        <v>2697</v>
      </c>
      <c r="K690" s="21">
        <v>1.85826020700126E14</v>
      </c>
      <c r="M690" s="15"/>
      <c r="N690" s="15"/>
      <c r="O690" s="15"/>
    </row>
    <row r="691" ht="22.5" customHeight="1">
      <c r="A691" s="32" t="str">
        <f t="shared" si="1"/>
        <v>3/2026</v>
      </c>
      <c r="B691" s="25">
        <v>46090.84407533565</v>
      </c>
      <c r="C691" s="21" t="s">
        <v>618</v>
      </c>
      <c r="D691" s="21" t="s">
        <v>2698</v>
      </c>
      <c r="E691" s="26" t="s">
        <v>2614</v>
      </c>
      <c r="F691" s="21" t="s">
        <v>118</v>
      </c>
      <c r="G691" s="21" t="s">
        <v>339</v>
      </c>
      <c r="H691" s="21" t="s">
        <v>2594</v>
      </c>
      <c r="I691" s="21" t="s">
        <v>2699</v>
      </c>
      <c r="K691" s="21">
        <v>1.86825082100082E14</v>
      </c>
      <c r="L691" s="21">
        <v>15.0</v>
      </c>
      <c r="M691" s="15"/>
      <c r="N691" s="15"/>
      <c r="O691" s="15"/>
    </row>
    <row r="692" ht="22.5" customHeight="1">
      <c r="A692" s="32" t="str">
        <f t="shared" si="1"/>
        <v>3/2026</v>
      </c>
      <c r="B692" s="25">
        <v>46090.92393134259</v>
      </c>
      <c r="C692" s="21" t="s">
        <v>56</v>
      </c>
      <c r="D692" s="21" t="s">
        <v>2700</v>
      </c>
      <c r="E692" s="26" t="s">
        <v>2701</v>
      </c>
      <c r="F692" s="21" t="s">
        <v>18</v>
      </c>
      <c r="G692" s="21" t="s">
        <v>2702</v>
      </c>
      <c r="H692" s="21" t="s">
        <v>36</v>
      </c>
      <c r="I692" s="21" t="s">
        <v>2703</v>
      </c>
      <c r="K692" s="21">
        <v>8.9282007210026E13</v>
      </c>
      <c r="M692" s="15"/>
      <c r="N692" s="15"/>
      <c r="O692" s="15"/>
    </row>
    <row r="693" ht="22.5" customHeight="1">
      <c r="A693" s="32" t="str">
        <f t="shared" si="1"/>
        <v>3/2026</v>
      </c>
      <c r="B693" s="25">
        <v>46091.40796703704</v>
      </c>
      <c r="C693" s="21" t="s">
        <v>169</v>
      </c>
      <c r="D693" s="21" t="s">
        <v>2704</v>
      </c>
      <c r="E693" s="26" t="s">
        <v>2705</v>
      </c>
      <c r="F693" s="21" t="s">
        <v>404</v>
      </c>
      <c r="G693" s="21" t="s">
        <v>2706</v>
      </c>
      <c r="H693" s="21" t="s">
        <v>36</v>
      </c>
      <c r="I693" s="21" t="s">
        <v>2707</v>
      </c>
      <c r="J693" s="21" t="s">
        <v>2708</v>
      </c>
      <c r="K693" s="21">
        <v>1.39823112300393E14</v>
      </c>
      <c r="L693" s="21">
        <v>35.0</v>
      </c>
      <c r="M693" s="15"/>
      <c r="N693" s="15"/>
      <c r="O693" s="15"/>
    </row>
    <row r="694" ht="22.5" customHeight="1">
      <c r="A694" s="32" t="str">
        <f t="shared" si="1"/>
        <v>3/2026</v>
      </c>
      <c r="B694" s="25">
        <v>46091.6050475463</v>
      </c>
      <c r="C694" s="21" t="s">
        <v>132</v>
      </c>
      <c r="D694" s="21" t="s">
        <v>2709</v>
      </c>
      <c r="E694" s="26" t="s">
        <v>2710</v>
      </c>
      <c r="F694" s="21" t="s">
        <v>18</v>
      </c>
      <c r="G694" s="21" t="s">
        <v>2711</v>
      </c>
      <c r="H694" s="21" t="s">
        <v>36</v>
      </c>
      <c r="I694" s="21" t="s">
        <v>2712</v>
      </c>
      <c r="K694" s="21">
        <v>1.39822120800168E14</v>
      </c>
      <c r="M694" s="15"/>
      <c r="N694" s="15"/>
      <c r="O694" s="15"/>
    </row>
    <row r="695" ht="22.5" customHeight="1">
      <c r="A695" s="32" t="str">
        <f t="shared" si="1"/>
        <v>3/2026</v>
      </c>
      <c r="B695" s="25">
        <v>46091.60719758102</v>
      </c>
      <c r="C695" s="21" t="s">
        <v>132</v>
      </c>
      <c r="D695" s="21" t="s">
        <v>2713</v>
      </c>
      <c r="E695" s="26" t="s">
        <v>2714</v>
      </c>
      <c r="F695" s="21" t="s">
        <v>18</v>
      </c>
      <c r="G695" s="21" t="s">
        <v>2715</v>
      </c>
      <c r="H695" s="21" t="s">
        <v>20</v>
      </c>
      <c r="I695" s="21" t="s">
        <v>2716</v>
      </c>
      <c r="K695" s="21">
        <v>1.86825082100064E14</v>
      </c>
      <c r="M695" s="15"/>
      <c r="N695" s="15"/>
      <c r="O695" s="15"/>
    </row>
    <row r="696" ht="22.5" customHeight="1">
      <c r="A696" s="32" t="str">
        <f t="shared" si="1"/>
        <v>3/2026</v>
      </c>
      <c r="B696" s="25">
        <v>46091.60876313657</v>
      </c>
      <c r="C696" s="21" t="s">
        <v>132</v>
      </c>
      <c r="D696" s="21" t="s">
        <v>2713</v>
      </c>
      <c r="E696" s="26" t="s">
        <v>2714</v>
      </c>
      <c r="F696" s="21" t="s">
        <v>18</v>
      </c>
      <c r="G696" s="21" t="s">
        <v>2717</v>
      </c>
      <c r="H696" s="21" t="s">
        <v>20</v>
      </c>
      <c r="I696" s="21" t="s">
        <v>2718</v>
      </c>
      <c r="K696" s="21">
        <v>1.96926010400136E14</v>
      </c>
      <c r="M696" s="15"/>
      <c r="N696" s="15"/>
      <c r="O696" s="15"/>
    </row>
    <row r="697" ht="22.5" customHeight="1">
      <c r="A697" s="32" t="str">
        <f t="shared" si="1"/>
        <v>3/2026</v>
      </c>
      <c r="B697" s="25">
        <v>46091.61158439815</v>
      </c>
      <c r="C697" s="21" t="s">
        <v>132</v>
      </c>
      <c r="D697" s="21" t="s">
        <v>2713</v>
      </c>
      <c r="E697" s="26" t="s">
        <v>2714</v>
      </c>
      <c r="F697" s="21" t="s">
        <v>18</v>
      </c>
      <c r="G697" s="21" t="s">
        <v>2719</v>
      </c>
      <c r="H697" s="21" t="s">
        <v>36</v>
      </c>
      <c r="I697" s="21" t="s">
        <v>2720</v>
      </c>
      <c r="J697" s="21" t="s">
        <v>2721</v>
      </c>
      <c r="K697" s="21">
        <v>8.92821080500163E14</v>
      </c>
      <c r="M697" s="15"/>
      <c r="N697" s="15"/>
      <c r="O697" s="15"/>
    </row>
    <row r="698" ht="22.5" customHeight="1">
      <c r="A698" s="32" t="str">
        <f t="shared" si="1"/>
        <v>3/2026</v>
      </c>
      <c r="B698" s="25">
        <v>46091.61323791667</v>
      </c>
      <c r="C698" s="21" t="s">
        <v>132</v>
      </c>
      <c r="D698" s="21" t="s">
        <v>2041</v>
      </c>
      <c r="E698" s="26" t="s">
        <v>2518</v>
      </c>
      <c r="F698" s="21" t="s">
        <v>18</v>
      </c>
      <c r="G698" s="21" t="s">
        <v>2722</v>
      </c>
      <c r="H698" s="21" t="s">
        <v>20</v>
      </c>
      <c r="I698" s="21" t="s">
        <v>2723</v>
      </c>
      <c r="K698" s="21">
        <v>1.83825082100049E14</v>
      </c>
      <c r="M698" s="15"/>
      <c r="N698" s="15"/>
      <c r="O698" s="15"/>
    </row>
    <row r="699" ht="22.5" customHeight="1">
      <c r="A699" s="32" t="str">
        <f t="shared" si="1"/>
        <v>3/2026</v>
      </c>
      <c r="B699" s="25">
        <v>46091.61384471065</v>
      </c>
      <c r="C699" s="21" t="s">
        <v>2045</v>
      </c>
      <c r="D699" s="21" t="s">
        <v>2724</v>
      </c>
      <c r="E699" s="26" t="s">
        <v>2725</v>
      </c>
      <c r="F699" s="21" t="s">
        <v>608</v>
      </c>
      <c r="G699" s="21" t="s">
        <v>2726</v>
      </c>
      <c r="H699" s="21" t="s">
        <v>36</v>
      </c>
      <c r="I699" s="21" t="s">
        <v>2727</v>
      </c>
      <c r="K699" s="21">
        <v>1.1982309120018E14</v>
      </c>
      <c r="L699" s="21">
        <v>4.0</v>
      </c>
      <c r="M699" s="15"/>
      <c r="N699" s="15"/>
      <c r="O699" s="15"/>
    </row>
    <row r="700" ht="22.5" customHeight="1">
      <c r="A700" s="32" t="str">
        <f t="shared" si="1"/>
        <v>3/2026</v>
      </c>
      <c r="B700" s="25">
        <v>46091.61460981482</v>
      </c>
      <c r="C700" s="21" t="s">
        <v>132</v>
      </c>
      <c r="D700" s="21" t="s">
        <v>2728</v>
      </c>
      <c r="E700" s="26" t="s">
        <v>2729</v>
      </c>
      <c r="F700" s="21" t="s">
        <v>18</v>
      </c>
      <c r="G700" s="21" t="s">
        <v>2730</v>
      </c>
      <c r="H700" s="21" t="s">
        <v>36</v>
      </c>
      <c r="I700" s="21" t="s">
        <v>2731</v>
      </c>
      <c r="K700" s="21">
        <v>1.19822061300188E14</v>
      </c>
      <c r="M700" s="15"/>
      <c r="N700" s="15"/>
      <c r="O700" s="15"/>
    </row>
    <row r="701" ht="22.5" customHeight="1">
      <c r="A701" s="32" t="str">
        <f t="shared" si="1"/>
        <v>3/2026</v>
      </c>
      <c r="B701" s="25">
        <v>46091.63918208334</v>
      </c>
      <c r="C701" s="21" t="s">
        <v>32</v>
      </c>
      <c r="D701" s="21" t="s">
        <v>595</v>
      </c>
      <c r="E701" s="26" t="s">
        <v>2732</v>
      </c>
      <c r="F701" s="21" t="s">
        <v>18</v>
      </c>
      <c r="G701" s="21" t="s">
        <v>1711</v>
      </c>
      <c r="H701" s="21" t="s">
        <v>36</v>
      </c>
      <c r="I701" s="21" t="s">
        <v>2733</v>
      </c>
      <c r="K701" s="21">
        <v>8.92820072100188E14</v>
      </c>
      <c r="M701" s="15"/>
      <c r="N701" s="15"/>
      <c r="O701" s="15"/>
    </row>
    <row r="702" ht="22.5" customHeight="1">
      <c r="A702" s="32" t="str">
        <f t="shared" si="1"/>
        <v>3/2026</v>
      </c>
      <c r="B702" s="25">
        <v>46091.63997207176</v>
      </c>
      <c r="C702" s="21" t="s">
        <v>320</v>
      </c>
      <c r="D702" s="21" t="s">
        <v>1126</v>
      </c>
      <c r="E702" s="26" t="s">
        <v>2734</v>
      </c>
      <c r="F702" s="21" t="s">
        <v>118</v>
      </c>
      <c r="G702" s="21" t="s">
        <v>1415</v>
      </c>
      <c r="H702" s="21" t="s">
        <v>36</v>
      </c>
      <c r="I702" s="21" t="s">
        <v>2735</v>
      </c>
      <c r="K702" s="21">
        <v>1.39823112300272E14</v>
      </c>
      <c r="M702" s="15"/>
      <c r="N702" s="15"/>
      <c r="O702" s="15"/>
    </row>
    <row r="703" ht="22.5" customHeight="1">
      <c r="A703" s="32" t="str">
        <f t="shared" si="1"/>
        <v>3/2026</v>
      </c>
      <c r="B703" s="25">
        <v>46091.80518570602</v>
      </c>
      <c r="C703" s="21" t="s">
        <v>115</v>
      </c>
      <c r="D703" s="21" t="s">
        <v>2736</v>
      </c>
      <c r="E703" s="26" t="s">
        <v>2737</v>
      </c>
      <c r="F703" s="21" t="s">
        <v>118</v>
      </c>
      <c r="G703" s="21" t="s">
        <v>1425</v>
      </c>
      <c r="H703" s="21" t="s">
        <v>20</v>
      </c>
      <c r="I703" s="21" t="s">
        <v>2738</v>
      </c>
      <c r="J703" s="21" t="s">
        <v>2246</v>
      </c>
      <c r="K703" s="21">
        <v>1.85826020700068E14</v>
      </c>
      <c r="L703" s="21">
        <v>12.0</v>
      </c>
      <c r="M703" s="15"/>
      <c r="N703" s="15"/>
      <c r="O703" s="15"/>
    </row>
    <row r="704" ht="22.5" customHeight="1">
      <c r="A704" s="32" t="str">
        <f t="shared" si="1"/>
        <v>3/2026</v>
      </c>
      <c r="B704" s="25">
        <v>46091.88466130787</v>
      </c>
      <c r="C704" s="21" t="s">
        <v>408</v>
      </c>
      <c r="D704" s="21" t="s">
        <v>72</v>
      </c>
      <c r="E704" s="26" t="s">
        <v>2739</v>
      </c>
      <c r="F704" s="21" t="s">
        <v>118</v>
      </c>
      <c r="G704" s="21" t="s">
        <v>250</v>
      </c>
      <c r="H704" s="21" t="s">
        <v>36</v>
      </c>
      <c r="I704" s="21" t="s">
        <v>2740</v>
      </c>
      <c r="J704" s="21" t="s">
        <v>2741</v>
      </c>
      <c r="K704" s="21">
        <v>1.39824092700699E14</v>
      </c>
      <c r="M704" s="15"/>
      <c r="N704" s="15"/>
      <c r="O704" s="15"/>
    </row>
    <row r="705" ht="22.5" customHeight="1">
      <c r="A705" s="32" t="str">
        <f t="shared" si="1"/>
        <v>3/2026</v>
      </c>
      <c r="B705" s="25">
        <v>46092.85021606481</v>
      </c>
      <c r="C705" s="21" t="s">
        <v>77</v>
      </c>
      <c r="D705" s="21" t="s">
        <v>2742</v>
      </c>
      <c r="E705" s="26" t="s">
        <v>2743</v>
      </c>
      <c r="F705" s="21" t="s">
        <v>64</v>
      </c>
      <c r="G705" s="21" t="s">
        <v>2744</v>
      </c>
      <c r="H705" s="21" t="s">
        <v>36</v>
      </c>
      <c r="I705" s="29" t="s">
        <v>2745</v>
      </c>
      <c r="J705" s="21" t="s">
        <v>2746</v>
      </c>
      <c r="K705" s="21">
        <v>1.39824092700522E14</v>
      </c>
      <c r="M705" s="15"/>
      <c r="N705" s="15"/>
      <c r="O705" s="15"/>
    </row>
    <row r="706" ht="22.5" customHeight="1">
      <c r="A706" s="32" t="str">
        <f t="shared" si="1"/>
        <v>3/2026</v>
      </c>
      <c r="B706" s="25">
        <v>46093.52164925926</v>
      </c>
      <c r="C706" s="21" t="s">
        <v>51</v>
      </c>
      <c r="D706" s="21" t="s">
        <v>2747</v>
      </c>
      <c r="E706" s="26" t="s">
        <v>2748</v>
      </c>
      <c r="F706" s="21" t="s">
        <v>18</v>
      </c>
      <c r="G706" s="21" t="s">
        <v>2749</v>
      </c>
      <c r="H706" s="21" t="s">
        <v>20</v>
      </c>
      <c r="I706" s="21" t="s">
        <v>2750</v>
      </c>
      <c r="K706" s="21">
        <v>1.85826020700011E14</v>
      </c>
      <c r="M706" s="15"/>
      <c r="N706" s="15"/>
      <c r="O706" s="15"/>
    </row>
    <row r="707" ht="22.5" customHeight="1">
      <c r="A707" s="32" t="str">
        <f t="shared" si="1"/>
        <v>3/2026</v>
      </c>
      <c r="B707" s="25">
        <v>46093.523191053246</v>
      </c>
      <c r="C707" s="21" t="s">
        <v>51</v>
      </c>
      <c r="D707" s="21" t="s">
        <v>327</v>
      </c>
      <c r="E707" s="26" t="s">
        <v>2751</v>
      </c>
      <c r="F707" s="21" t="s">
        <v>18</v>
      </c>
      <c r="G707" s="21" t="s">
        <v>2752</v>
      </c>
      <c r="H707" s="21" t="s">
        <v>44</v>
      </c>
      <c r="I707" s="21" t="s">
        <v>2753</v>
      </c>
      <c r="K707" s="21">
        <v>1.85826020700089E14</v>
      </c>
      <c r="M707" s="15"/>
      <c r="N707" s="15"/>
      <c r="O707" s="15"/>
    </row>
    <row r="708" ht="22.5" customHeight="1">
      <c r="A708" s="32" t="str">
        <f t="shared" si="1"/>
        <v>3/2026</v>
      </c>
      <c r="B708" s="25">
        <v>46093.54596304398</v>
      </c>
      <c r="C708" s="21" t="s">
        <v>214</v>
      </c>
      <c r="D708" s="21" t="s">
        <v>2754</v>
      </c>
      <c r="E708" s="26" t="s">
        <v>2755</v>
      </c>
      <c r="F708" s="21" t="s">
        <v>18</v>
      </c>
      <c r="G708" s="21" t="s">
        <v>129</v>
      </c>
      <c r="H708" s="21" t="s">
        <v>2594</v>
      </c>
      <c r="I708" s="21" t="s">
        <v>2756</v>
      </c>
      <c r="J708" s="21" t="s">
        <v>2757</v>
      </c>
      <c r="K708" s="21">
        <v>1.39822060400035E14</v>
      </c>
      <c r="M708" s="15"/>
      <c r="N708" s="15"/>
      <c r="O708" s="15"/>
    </row>
    <row r="709" ht="22.5" customHeight="1">
      <c r="A709" s="32" t="str">
        <f t="shared" si="1"/>
        <v>3/2026</v>
      </c>
      <c r="B709" s="25">
        <v>46093.65844958334</v>
      </c>
      <c r="C709" s="21" t="s">
        <v>115</v>
      </c>
      <c r="D709" s="21" t="s">
        <v>2758</v>
      </c>
      <c r="E709" s="26" t="s">
        <v>1130</v>
      </c>
      <c r="F709" s="21" t="s">
        <v>118</v>
      </c>
      <c r="G709" s="21" t="s">
        <v>1067</v>
      </c>
      <c r="H709" s="21" t="s">
        <v>141</v>
      </c>
      <c r="I709" s="21" t="s">
        <v>2759</v>
      </c>
      <c r="J709" s="21" t="s">
        <v>2760</v>
      </c>
      <c r="K709" s="21" t="s">
        <v>122</v>
      </c>
      <c r="M709" s="15"/>
      <c r="N709" s="15"/>
      <c r="O709" s="15"/>
    </row>
    <row r="710" ht="22.5" customHeight="1">
      <c r="A710" s="32" t="str">
        <f t="shared" si="1"/>
        <v>3/2026</v>
      </c>
      <c r="B710" s="25">
        <v>46093.660131041666</v>
      </c>
      <c r="C710" s="21" t="s">
        <v>115</v>
      </c>
      <c r="D710" s="21" t="s">
        <v>2761</v>
      </c>
      <c r="E710" s="26" t="s">
        <v>2762</v>
      </c>
      <c r="F710" s="21" t="s">
        <v>686</v>
      </c>
      <c r="G710" s="21" t="s">
        <v>1287</v>
      </c>
      <c r="H710" s="21" t="s">
        <v>141</v>
      </c>
      <c r="I710" s="21" t="s">
        <v>2763</v>
      </c>
      <c r="J710" s="21" t="s">
        <v>2764</v>
      </c>
      <c r="K710" s="21" t="s">
        <v>122</v>
      </c>
      <c r="M710" s="15"/>
      <c r="N710" s="15"/>
      <c r="O710" s="15"/>
    </row>
    <row r="711" ht="22.5" customHeight="1">
      <c r="A711" s="32" t="str">
        <f t="shared" si="1"/>
        <v>3/2026</v>
      </c>
      <c r="B711" s="25">
        <v>46093.663084189815</v>
      </c>
      <c r="C711" s="21" t="s">
        <v>115</v>
      </c>
      <c r="D711" s="21" t="s">
        <v>2765</v>
      </c>
      <c r="E711" s="26" t="s">
        <v>2766</v>
      </c>
      <c r="F711" s="21" t="s">
        <v>118</v>
      </c>
      <c r="G711" s="21" t="s">
        <v>1939</v>
      </c>
      <c r="H711" s="21" t="s">
        <v>44</v>
      </c>
      <c r="I711" s="21" t="s">
        <v>2767</v>
      </c>
      <c r="J711" s="21" t="s">
        <v>2768</v>
      </c>
      <c r="K711" s="21">
        <v>1.85826020700053E14</v>
      </c>
      <c r="L711" s="21">
        <v>19.0</v>
      </c>
      <c r="M711" s="15"/>
      <c r="N711" s="15"/>
      <c r="O711" s="15"/>
    </row>
    <row r="712" ht="22.5" customHeight="1">
      <c r="A712" s="32" t="str">
        <f t="shared" si="1"/>
        <v>3/2026</v>
      </c>
      <c r="B712" s="25">
        <v>46093.787023888886</v>
      </c>
      <c r="C712" s="21" t="s">
        <v>618</v>
      </c>
      <c r="D712" s="21" t="s">
        <v>2769</v>
      </c>
      <c r="E712" s="26" t="s">
        <v>2770</v>
      </c>
      <c r="F712" s="21" t="s">
        <v>118</v>
      </c>
      <c r="G712" s="21" t="s">
        <v>2771</v>
      </c>
      <c r="H712" s="21" t="s">
        <v>36</v>
      </c>
      <c r="I712" s="21" t="s">
        <v>2772</v>
      </c>
      <c r="K712" s="21">
        <v>1.19824092800106E14</v>
      </c>
      <c r="L712" s="21">
        <v>25.0</v>
      </c>
      <c r="M712" s="15"/>
      <c r="N712" s="15"/>
      <c r="O712" s="15"/>
    </row>
    <row r="713" ht="22.5" customHeight="1">
      <c r="A713" s="32" t="str">
        <f t="shared" si="1"/>
        <v>3/2026</v>
      </c>
      <c r="B713" s="25">
        <v>46093.888962488425</v>
      </c>
      <c r="C713" s="21" t="s">
        <v>56</v>
      </c>
      <c r="D713" s="21" t="s">
        <v>2773</v>
      </c>
      <c r="E713" s="26" t="s">
        <v>2774</v>
      </c>
      <c r="F713" s="21" t="s">
        <v>18</v>
      </c>
      <c r="G713" s="21" t="s">
        <v>1419</v>
      </c>
      <c r="H713" s="21" t="s">
        <v>36</v>
      </c>
      <c r="I713" s="21" t="s">
        <v>2775</v>
      </c>
      <c r="K713" s="21">
        <v>8.92824103000123E14</v>
      </c>
      <c r="M713" s="15"/>
      <c r="N713" s="15"/>
      <c r="O713" s="15"/>
    </row>
    <row r="714" ht="22.5" customHeight="1">
      <c r="A714" s="32" t="str">
        <f t="shared" si="1"/>
        <v>3/2026</v>
      </c>
      <c r="B714" s="25">
        <v>46094.48721143519</v>
      </c>
      <c r="C714" s="21" t="s">
        <v>132</v>
      </c>
      <c r="D714" s="21" t="s">
        <v>2728</v>
      </c>
      <c r="E714" s="26" t="s">
        <v>2776</v>
      </c>
      <c r="F714" s="21" t="s">
        <v>18</v>
      </c>
      <c r="G714" s="21" t="s">
        <v>2777</v>
      </c>
      <c r="H714" s="21" t="s">
        <v>36</v>
      </c>
      <c r="I714" s="21" t="s">
        <v>2778</v>
      </c>
      <c r="K714" s="21">
        <v>8.92821080500352E14</v>
      </c>
      <c r="M714" s="15"/>
      <c r="N714" s="15"/>
      <c r="O714" s="15"/>
    </row>
    <row r="715" ht="22.5" customHeight="1">
      <c r="A715" s="32" t="str">
        <f t="shared" si="1"/>
        <v>3/2026</v>
      </c>
      <c r="B715" s="25">
        <v>46094.64266363426</v>
      </c>
      <c r="C715" s="21" t="s">
        <v>618</v>
      </c>
      <c r="D715" s="21" t="s">
        <v>2649</v>
      </c>
      <c r="E715" s="26" t="s">
        <v>2779</v>
      </c>
      <c r="F715" s="21" t="s">
        <v>118</v>
      </c>
      <c r="G715" s="21" t="s">
        <v>1104</v>
      </c>
      <c r="H715" s="21" t="s">
        <v>721</v>
      </c>
      <c r="I715" s="21" t="s">
        <v>2780</v>
      </c>
      <c r="K715" s="21">
        <v>1.85825082200029E14</v>
      </c>
      <c r="L715" s="21">
        <v>30.0</v>
      </c>
      <c r="M715" s="15"/>
      <c r="N715" s="15"/>
      <c r="O715" s="15"/>
    </row>
    <row r="716" ht="22.5" customHeight="1">
      <c r="A716" s="32" t="str">
        <f t="shared" si="1"/>
        <v>3/2026</v>
      </c>
      <c r="B716" s="25">
        <v>46094.770405567135</v>
      </c>
      <c r="C716" s="21" t="s">
        <v>77</v>
      </c>
      <c r="D716" s="21" t="s">
        <v>534</v>
      </c>
      <c r="E716" s="26" t="s">
        <v>2781</v>
      </c>
      <c r="F716" s="21" t="s">
        <v>64</v>
      </c>
      <c r="G716" s="21" t="s">
        <v>2782</v>
      </c>
      <c r="H716" s="21" t="s">
        <v>36</v>
      </c>
      <c r="I716" s="21" t="s">
        <v>2783</v>
      </c>
      <c r="J716" s="21" t="s">
        <v>2784</v>
      </c>
      <c r="K716" s="21">
        <v>1.39823112300336E14</v>
      </c>
      <c r="M716" s="15"/>
      <c r="N716" s="15"/>
      <c r="O716" s="15"/>
    </row>
    <row r="717" ht="22.5" customHeight="1">
      <c r="A717" s="32" t="str">
        <f t="shared" si="1"/>
        <v>3/2026</v>
      </c>
      <c r="B717" s="25">
        <v>46094.78449841435</v>
      </c>
      <c r="C717" s="21" t="s">
        <v>32</v>
      </c>
      <c r="D717" s="21" t="s">
        <v>2785</v>
      </c>
      <c r="E717" s="26" t="s">
        <v>2786</v>
      </c>
      <c r="F717" s="21" t="s">
        <v>18</v>
      </c>
      <c r="G717" s="21" t="s">
        <v>38</v>
      </c>
      <c r="H717" s="21" t="s">
        <v>36</v>
      </c>
      <c r="I717" s="21" t="s">
        <v>2787</v>
      </c>
      <c r="K717" s="21">
        <v>1.19821080500281E14</v>
      </c>
      <c r="M717" s="15"/>
      <c r="N717" s="15"/>
      <c r="O717" s="15"/>
    </row>
    <row r="718" ht="22.5" customHeight="1">
      <c r="A718" s="32" t="str">
        <f t="shared" si="1"/>
        <v>3/2026</v>
      </c>
      <c r="B718" s="25">
        <v>46094.806935925924</v>
      </c>
      <c r="C718" s="21" t="s">
        <v>287</v>
      </c>
      <c r="D718" s="21" t="s">
        <v>2788</v>
      </c>
      <c r="E718" s="26" t="s">
        <v>2789</v>
      </c>
      <c r="F718" s="21" t="s">
        <v>482</v>
      </c>
      <c r="G718" s="21" t="s">
        <v>615</v>
      </c>
      <c r="H718" s="21" t="s">
        <v>44</v>
      </c>
      <c r="I718" s="21" t="s">
        <v>2790</v>
      </c>
      <c r="K718" s="21">
        <v>1.8582602070011E14</v>
      </c>
      <c r="M718" s="15"/>
      <c r="N718" s="15"/>
      <c r="O718" s="15"/>
    </row>
    <row r="719" ht="22.5" customHeight="1">
      <c r="A719" s="32" t="str">
        <f t="shared" si="1"/>
        <v>3/2026</v>
      </c>
      <c r="B719" s="25">
        <v>46094.839518796296</v>
      </c>
      <c r="C719" s="21" t="s">
        <v>51</v>
      </c>
      <c r="D719" s="21" t="s">
        <v>2791</v>
      </c>
      <c r="E719" s="26" t="s">
        <v>2792</v>
      </c>
      <c r="F719" s="21" t="s">
        <v>18</v>
      </c>
      <c r="G719" s="21" t="s">
        <v>49</v>
      </c>
      <c r="H719" s="21" t="s">
        <v>44</v>
      </c>
      <c r="I719" s="21" t="s">
        <v>2793</v>
      </c>
      <c r="K719" s="21">
        <v>1.84825082100251E14</v>
      </c>
      <c r="M719" s="15"/>
      <c r="N719" s="15"/>
      <c r="O719" s="15"/>
    </row>
    <row r="720" ht="22.5" customHeight="1">
      <c r="A720" s="32" t="str">
        <f t="shared" si="1"/>
        <v>3/2026</v>
      </c>
      <c r="B720" s="25">
        <v>46094.85809326389</v>
      </c>
      <c r="C720" s="21" t="s">
        <v>1454</v>
      </c>
      <c r="D720" s="21" t="s">
        <v>2794</v>
      </c>
      <c r="E720" s="26" t="s">
        <v>2795</v>
      </c>
      <c r="F720" s="21" t="s">
        <v>1830</v>
      </c>
      <c r="G720" s="21" t="s">
        <v>1415</v>
      </c>
      <c r="H720" s="21" t="s">
        <v>36</v>
      </c>
      <c r="I720" s="21" t="s">
        <v>2796</v>
      </c>
      <c r="K720" s="21">
        <v>1.39823120800041E14</v>
      </c>
      <c r="L720" s="21">
        <v>60.0</v>
      </c>
      <c r="M720" s="15"/>
      <c r="N720" s="15"/>
      <c r="O720" s="15"/>
    </row>
    <row r="721" ht="22.5" customHeight="1">
      <c r="A721" s="32" t="str">
        <f t="shared" si="1"/>
        <v>3/2026</v>
      </c>
      <c r="B721" s="25">
        <v>46095.51697996528</v>
      </c>
      <c r="C721" s="21" t="s">
        <v>408</v>
      </c>
      <c r="D721" s="21" t="s">
        <v>2797</v>
      </c>
      <c r="E721" s="26" t="s">
        <v>2798</v>
      </c>
      <c r="F721" s="21" t="s">
        <v>118</v>
      </c>
      <c r="G721" s="21" t="s">
        <v>2799</v>
      </c>
      <c r="H721" s="21" t="s">
        <v>36</v>
      </c>
      <c r="I721" s="21" t="s">
        <v>2800</v>
      </c>
      <c r="J721" s="21" t="s">
        <v>1013</v>
      </c>
      <c r="K721" s="21">
        <v>1.39824092700583E14</v>
      </c>
      <c r="M721" s="15"/>
      <c r="N721" s="15"/>
      <c r="O721" s="15"/>
    </row>
    <row r="722" ht="22.5" customHeight="1">
      <c r="A722" s="32" t="str">
        <f t="shared" si="1"/>
        <v>3/2026</v>
      </c>
      <c r="B722" s="25">
        <v>46095.61071789352</v>
      </c>
      <c r="C722" s="21" t="s">
        <v>300</v>
      </c>
      <c r="D722" s="21" t="s">
        <v>2801</v>
      </c>
      <c r="E722" s="26" t="s">
        <v>2802</v>
      </c>
      <c r="F722" s="21" t="s">
        <v>303</v>
      </c>
      <c r="G722" s="21" t="s">
        <v>2533</v>
      </c>
      <c r="H722" s="21" t="s">
        <v>36</v>
      </c>
      <c r="I722" s="21" t="s">
        <v>2803</v>
      </c>
      <c r="K722" s="21">
        <v>1.19822070100205E14</v>
      </c>
      <c r="L722" s="21">
        <v>10.0</v>
      </c>
      <c r="M722" s="15"/>
      <c r="N722" s="15"/>
      <c r="O722" s="15"/>
    </row>
    <row r="723" ht="22.5" customHeight="1">
      <c r="A723" s="32" t="str">
        <f t="shared" si="1"/>
        <v>3/2026</v>
      </c>
      <c r="B723" s="25">
        <v>46095.63524884259</v>
      </c>
      <c r="C723" s="21" t="s">
        <v>386</v>
      </c>
      <c r="D723" s="21" t="s">
        <v>2804</v>
      </c>
      <c r="E723" s="26" t="s">
        <v>2805</v>
      </c>
      <c r="F723" s="21" t="s">
        <v>18</v>
      </c>
      <c r="G723" s="21" t="s">
        <v>1501</v>
      </c>
      <c r="H723" s="21" t="s">
        <v>36</v>
      </c>
      <c r="I723" s="21" t="s">
        <v>2806</v>
      </c>
      <c r="J723" s="21" t="s">
        <v>2807</v>
      </c>
      <c r="K723" s="21">
        <v>8.9284061500388E13</v>
      </c>
      <c r="M723" s="15"/>
      <c r="N723" s="15"/>
      <c r="O723" s="15"/>
    </row>
    <row r="724" ht="22.5" customHeight="1">
      <c r="A724" s="32" t="str">
        <f t="shared" si="1"/>
        <v>3/2026</v>
      </c>
      <c r="B724" s="25">
        <v>46095.725825925925</v>
      </c>
      <c r="C724" s="21" t="s">
        <v>618</v>
      </c>
      <c r="D724" s="21" t="s">
        <v>2808</v>
      </c>
      <c r="E724" s="26" t="s">
        <v>2809</v>
      </c>
      <c r="F724" s="21" t="s">
        <v>118</v>
      </c>
      <c r="G724" s="21" t="s">
        <v>2810</v>
      </c>
      <c r="H724" s="21" t="s">
        <v>36</v>
      </c>
      <c r="I724" s="21" t="s">
        <v>2811</v>
      </c>
      <c r="K724" s="21">
        <v>1.39824092700417E14</v>
      </c>
      <c r="L724" s="21">
        <v>25.0</v>
      </c>
      <c r="M724" s="15"/>
      <c r="N724" s="15"/>
      <c r="O724" s="15"/>
    </row>
    <row r="725" ht="22.5" customHeight="1">
      <c r="A725" s="32" t="str">
        <f t="shared" si="1"/>
        <v>3/2026</v>
      </c>
      <c r="B725" s="25">
        <v>46095.756128796296</v>
      </c>
      <c r="C725" s="21" t="s">
        <v>115</v>
      </c>
      <c r="D725" s="21" t="s">
        <v>2812</v>
      </c>
      <c r="E725" s="26" t="s">
        <v>2813</v>
      </c>
      <c r="F725" s="21" t="s">
        <v>118</v>
      </c>
      <c r="H725" s="21" t="s">
        <v>20</v>
      </c>
      <c r="I725" s="21" t="s">
        <v>2814</v>
      </c>
      <c r="J725" s="21" t="s">
        <v>2815</v>
      </c>
      <c r="K725" s="21">
        <v>1.86825082100193E14</v>
      </c>
      <c r="M725" s="15"/>
      <c r="N725" s="15"/>
      <c r="O725" s="15"/>
    </row>
    <row r="726" ht="22.5" customHeight="1">
      <c r="A726" s="32" t="str">
        <f t="shared" si="1"/>
        <v>3/2026</v>
      </c>
      <c r="B726" s="25">
        <v>46095.75715292824</v>
      </c>
      <c r="C726" s="21" t="s">
        <v>115</v>
      </c>
      <c r="D726" s="21" t="s">
        <v>2816</v>
      </c>
      <c r="E726" s="26" t="s">
        <v>2817</v>
      </c>
      <c r="F726" s="21" t="s">
        <v>118</v>
      </c>
      <c r="G726" s="21" t="s">
        <v>178</v>
      </c>
      <c r="H726" s="21" t="s">
        <v>36</v>
      </c>
      <c r="I726" s="21" t="s">
        <v>2818</v>
      </c>
      <c r="J726" s="21" t="s">
        <v>965</v>
      </c>
      <c r="K726" s="21" t="s">
        <v>122</v>
      </c>
      <c r="M726" s="15"/>
      <c r="N726" s="15"/>
      <c r="O726" s="15"/>
    </row>
    <row r="727" ht="22.5" customHeight="1">
      <c r="A727" s="32" t="str">
        <f t="shared" si="1"/>
        <v>3/2026</v>
      </c>
      <c r="B727" s="25">
        <v>46095.758930254626</v>
      </c>
      <c r="C727" s="21" t="s">
        <v>115</v>
      </c>
      <c r="D727" s="21" t="s">
        <v>2819</v>
      </c>
      <c r="E727" s="26" t="s">
        <v>2820</v>
      </c>
      <c r="F727" s="21" t="s">
        <v>118</v>
      </c>
      <c r="G727" s="21" t="s">
        <v>1939</v>
      </c>
      <c r="H727" s="21" t="s">
        <v>20</v>
      </c>
      <c r="I727" s="21" t="s">
        <v>2821</v>
      </c>
      <c r="J727" s="21" t="s">
        <v>965</v>
      </c>
      <c r="K727" s="21">
        <v>1.8582602070014E14</v>
      </c>
      <c r="L727" s="21">
        <v>30.0</v>
      </c>
      <c r="M727" s="15"/>
      <c r="N727" s="15"/>
      <c r="O727" s="15"/>
    </row>
    <row r="728" ht="22.5" customHeight="1">
      <c r="A728" s="32" t="str">
        <f t="shared" si="1"/>
        <v>3/2026</v>
      </c>
      <c r="B728" s="25">
        <v>46095.75992486111</v>
      </c>
      <c r="C728" s="21" t="s">
        <v>115</v>
      </c>
      <c r="D728" s="21" t="s">
        <v>2822</v>
      </c>
      <c r="E728" s="26" t="s">
        <v>2823</v>
      </c>
      <c r="F728" s="21" t="s">
        <v>118</v>
      </c>
      <c r="G728" s="21" t="s">
        <v>1287</v>
      </c>
      <c r="H728" s="21" t="s">
        <v>36</v>
      </c>
      <c r="I728" s="21" t="s">
        <v>2824</v>
      </c>
      <c r="J728" s="21" t="s">
        <v>965</v>
      </c>
      <c r="K728" s="21" t="s">
        <v>122</v>
      </c>
      <c r="M728" s="15"/>
      <c r="N728" s="15"/>
      <c r="O728" s="15"/>
    </row>
    <row r="729" ht="22.5" customHeight="1">
      <c r="A729" s="32" t="str">
        <f t="shared" si="1"/>
        <v>3/2026</v>
      </c>
      <c r="B729" s="25">
        <v>46095.76364188657</v>
      </c>
      <c r="C729" s="21" t="s">
        <v>115</v>
      </c>
      <c r="D729" s="21" t="s">
        <v>1933</v>
      </c>
      <c r="E729" s="26" t="s">
        <v>1934</v>
      </c>
      <c r="F729" s="21" t="s">
        <v>118</v>
      </c>
      <c r="G729" s="21" t="s">
        <v>2825</v>
      </c>
      <c r="H729" s="21" t="s">
        <v>141</v>
      </c>
      <c r="I729" s="21" t="s">
        <v>2826</v>
      </c>
      <c r="J729" s="21" t="s">
        <v>2827</v>
      </c>
      <c r="K729" s="21" t="s">
        <v>122</v>
      </c>
      <c r="M729" s="15"/>
      <c r="N729" s="15"/>
      <c r="O729" s="15"/>
    </row>
    <row r="730" ht="22.5" customHeight="1">
      <c r="A730" s="32" t="str">
        <f t="shared" si="1"/>
        <v>3/2026</v>
      </c>
      <c r="B730" s="25">
        <v>46096.31574109953</v>
      </c>
      <c r="C730" s="21" t="s">
        <v>77</v>
      </c>
      <c r="D730" s="21" t="s">
        <v>2828</v>
      </c>
      <c r="E730" s="26" t="s">
        <v>2829</v>
      </c>
      <c r="F730" s="21" t="s">
        <v>64</v>
      </c>
      <c r="G730" s="21" t="s">
        <v>2830</v>
      </c>
      <c r="H730" s="21" t="s">
        <v>20</v>
      </c>
      <c r="I730" s="29" t="s">
        <v>2831</v>
      </c>
      <c r="J730" s="21" t="s">
        <v>2832</v>
      </c>
      <c r="K730" s="21">
        <v>1.85825082200103E14</v>
      </c>
      <c r="M730" s="15"/>
      <c r="N730" s="15"/>
      <c r="O730" s="15"/>
    </row>
    <row r="731" ht="22.5" customHeight="1">
      <c r="A731" s="32" t="str">
        <f t="shared" si="1"/>
        <v>3/2026</v>
      </c>
      <c r="B731" s="25">
        <v>46096.863829236114</v>
      </c>
      <c r="C731" s="21" t="s">
        <v>123</v>
      </c>
      <c r="D731" s="21" t="s">
        <v>2833</v>
      </c>
      <c r="E731" s="26" t="s">
        <v>2834</v>
      </c>
      <c r="F731" s="21" t="s">
        <v>18</v>
      </c>
      <c r="G731" s="21" t="s">
        <v>2835</v>
      </c>
      <c r="H731" s="21" t="s">
        <v>36</v>
      </c>
      <c r="I731" s="21" t="s">
        <v>2836</v>
      </c>
      <c r="J731" s="21" t="s">
        <v>2837</v>
      </c>
      <c r="K731" s="21">
        <v>8.92820072100186E14</v>
      </c>
      <c r="M731" s="15"/>
      <c r="N731" s="15"/>
      <c r="O731" s="15"/>
    </row>
    <row r="732" ht="22.5" customHeight="1">
      <c r="A732" s="32" t="str">
        <f t="shared" si="1"/>
        <v>3/2026</v>
      </c>
      <c r="B732" s="25">
        <v>46096.86801358796</v>
      </c>
      <c r="C732" s="21" t="s">
        <v>123</v>
      </c>
      <c r="D732" s="21" t="s">
        <v>2838</v>
      </c>
      <c r="E732" s="26" t="s">
        <v>333</v>
      </c>
      <c r="F732" s="21" t="s">
        <v>18</v>
      </c>
      <c r="G732" s="21" t="s">
        <v>2839</v>
      </c>
      <c r="H732" s="21" t="s">
        <v>2569</v>
      </c>
      <c r="I732" s="21" t="s">
        <v>2840</v>
      </c>
      <c r="K732" s="21">
        <v>1.85826020700034E14</v>
      </c>
      <c r="M732" s="15"/>
      <c r="N732" s="15"/>
      <c r="O732" s="15"/>
    </row>
    <row r="733" ht="22.5" customHeight="1">
      <c r="A733" s="32" t="str">
        <f t="shared" si="1"/>
        <v>3/2026</v>
      </c>
      <c r="B733" s="25">
        <v>46097.29356021991</v>
      </c>
      <c r="C733" s="21" t="s">
        <v>56</v>
      </c>
      <c r="D733" s="21" t="s">
        <v>2841</v>
      </c>
      <c r="E733" s="26" t="s">
        <v>2842</v>
      </c>
      <c r="F733" s="21" t="s">
        <v>18</v>
      </c>
      <c r="G733" s="21" t="s">
        <v>2843</v>
      </c>
      <c r="H733" s="21" t="s">
        <v>20</v>
      </c>
      <c r="I733" s="21" t="s">
        <v>2844</v>
      </c>
      <c r="K733" s="21">
        <v>1.85826020700138E14</v>
      </c>
      <c r="M733" s="15"/>
      <c r="N733" s="15"/>
      <c r="O733" s="15"/>
    </row>
    <row r="734" ht="22.5" customHeight="1">
      <c r="A734" s="32" t="str">
        <f t="shared" si="1"/>
        <v>3/2026</v>
      </c>
      <c r="B734" s="25">
        <v>46097.29622795139</v>
      </c>
      <c r="C734" s="21" t="s">
        <v>56</v>
      </c>
      <c r="D734" s="21" t="s">
        <v>2289</v>
      </c>
      <c r="E734" s="26" t="s">
        <v>2845</v>
      </c>
      <c r="F734" s="21" t="s">
        <v>18</v>
      </c>
      <c r="G734" s="21" t="s">
        <v>212</v>
      </c>
      <c r="H734" s="21" t="s">
        <v>36</v>
      </c>
      <c r="I734" s="21" t="s">
        <v>2846</v>
      </c>
      <c r="K734" s="21">
        <v>1.3982212800275E13</v>
      </c>
      <c r="M734" s="15"/>
      <c r="N734" s="15"/>
      <c r="O734" s="15"/>
    </row>
    <row r="735" ht="22.5" customHeight="1">
      <c r="A735" s="32" t="str">
        <f t="shared" si="1"/>
        <v>3/2026</v>
      </c>
      <c r="B735" s="25">
        <v>46097.64064077546</v>
      </c>
      <c r="C735" s="21" t="s">
        <v>308</v>
      </c>
      <c r="D735" s="21" t="s">
        <v>2847</v>
      </c>
      <c r="E735" s="26" t="s">
        <v>2848</v>
      </c>
      <c r="F735" s="21" t="s">
        <v>106</v>
      </c>
      <c r="G735" s="21" t="s">
        <v>1415</v>
      </c>
      <c r="H735" s="21" t="s">
        <v>36</v>
      </c>
      <c r="I735" s="21" t="s">
        <v>2849</v>
      </c>
      <c r="J735" s="21" t="s">
        <v>2850</v>
      </c>
      <c r="K735" s="21">
        <v>1.39822102000223E14</v>
      </c>
      <c r="M735" s="15"/>
      <c r="N735" s="15"/>
      <c r="O735" s="15"/>
    </row>
    <row r="736" ht="22.5" customHeight="1">
      <c r="A736" s="32" t="str">
        <f t="shared" si="1"/>
        <v>3/2026</v>
      </c>
      <c r="B736" s="25">
        <v>46097.67626777777</v>
      </c>
      <c r="C736" s="21" t="s">
        <v>15</v>
      </c>
      <c r="D736" s="21" t="s">
        <v>2851</v>
      </c>
      <c r="E736" s="26" t="s">
        <v>1042</v>
      </c>
      <c r="F736" s="21" t="s">
        <v>18</v>
      </c>
      <c r="G736" s="21" t="s">
        <v>19</v>
      </c>
      <c r="H736" s="21" t="s">
        <v>2569</v>
      </c>
      <c r="I736" s="21" t="s">
        <v>2852</v>
      </c>
      <c r="J736" s="21" t="s">
        <v>2853</v>
      </c>
      <c r="K736" s="21">
        <v>1.8582508220004E14</v>
      </c>
      <c r="M736" s="15"/>
      <c r="N736" s="15"/>
      <c r="O736" s="15"/>
    </row>
    <row r="737" ht="22.5" customHeight="1">
      <c r="A737" s="32" t="str">
        <f t="shared" si="1"/>
        <v>3/2026</v>
      </c>
      <c r="B737" s="25">
        <v>46097.68137466435</v>
      </c>
      <c r="C737" s="21" t="s">
        <v>15</v>
      </c>
      <c r="D737" s="21" t="s">
        <v>2854</v>
      </c>
      <c r="E737" s="26" t="s">
        <v>2855</v>
      </c>
      <c r="F737" s="21" t="s">
        <v>18</v>
      </c>
      <c r="G737" s="21" t="s">
        <v>2856</v>
      </c>
      <c r="H737" s="21" t="s">
        <v>2857</v>
      </c>
      <c r="I737" s="29" t="s">
        <v>2858</v>
      </c>
      <c r="J737" s="21" t="s">
        <v>2859</v>
      </c>
      <c r="K737" s="21" t="s">
        <v>122</v>
      </c>
      <c r="M737" s="15"/>
      <c r="N737" s="15"/>
      <c r="O737" s="15"/>
    </row>
    <row r="738" ht="22.5" customHeight="1">
      <c r="A738" s="32" t="str">
        <f t="shared" si="1"/>
        <v>3/2026</v>
      </c>
      <c r="B738" s="25">
        <v>46097.686442465274</v>
      </c>
      <c r="C738" s="21" t="s">
        <v>15</v>
      </c>
      <c r="D738" s="21" t="s">
        <v>2860</v>
      </c>
      <c r="E738" s="26" t="s">
        <v>2861</v>
      </c>
      <c r="F738" s="21" t="s">
        <v>18</v>
      </c>
      <c r="G738" s="21" t="s">
        <v>19</v>
      </c>
      <c r="H738" s="21" t="s">
        <v>2862</v>
      </c>
      <c r="I738" s="21" t="s">
        <v>2863</v>
      </c>
      <c r="J738" s="21" t="s">
        <v>2864</v>
      </c>
      <c r="K738" s="21">
        <v>1.85825082200043E14</v>
      </c>
      <c r="M738" s="15"/>
      <c r="N738" s="15"/>
      <c r="O738" s="15"/>
    </row>
    <row r="739" ht="22.5" customHeight="1">
      <c r="A739" s="32" t="str">
        <f t="shared" si="1"/>
        <v>3/2026</v>
      </c>
      <c r="B739" s="25">
        <v>46097.7286717824</v>
      </c>
      <c r="C739" s="21" t="s">
        <v>386</v>
      </c>
      <c r="D739" s="21" t="s">
        <v>2865</v>
      </c>
      <c r="E739" s="26" t="s">
        <v>2866</v>
      </c>
      <c r="F739" s="21" t="s">
        <v>18</v>
      </c>
      <c r="G739" s="21" t="s">
        <v>1262</v>
      </c>
      <c r="H739" s="21" t="s">
        <v>36</v>
      </c>
      <c r="I739" s="21" t="s">
        <v>2867</v>
      </c>
      <c r="J739" s="21" t="s">
        <v>2868</v>
      </c>
      <c r="K739" s="21">
        <v>1.39823072500286E14</v>
      </c>
      <c r="M739" s="15"/>
      <c r="N739" s="15"/>
      <c r="O739" s="15"/>
    </row>
    <row r="740" ht="22.5" customHeight="1">
      <c r="A740" s="32" t="str">
        <f t="shared" si="1"/>
        <v>3/2026</v>
      </c>
      <c r="B740" s="25">
        <v>46097.777681921296</v>
      </c>
      <c r="C740" s="21" t="s">
        <v>115</v>
      </c>
      <c r="D740" s="21" t="s">
        <v>2869</v>
      </c>
      <c r="E740" s="26" t="s">
        <v>2870</v>
      </c>
      <c r="F740" s="21" t="s">
        <v>118</v>
      </c>
      <c r="G740" s="21" t="s">
        <v>1363</v>
      </c>
      <c r="H740" s="21" t="s">
        <v>141</v>
      </c>
      <c r="I740" s="21" t="s">
        <v>2871</v>
      </c>
      <c r="J740" s="21" t="s">
        <v>1756</v>
      </c>
      <c r="K740" s="21" t="s">
        <v>122</v>
      </c>
      <c r="L740" s="21">
        <v>19.0</v>
      </c>
      <c r="M740" s="15"/>
      <c r="N740" s="15"/>
      <c r="O740" s="15"/>
    </row>
    <row r="741" ht="22.5" customHeight="1">
      <c r="A741" s="32" t="str">
        <f t="shared" si="1"/>
        <v>3/2026</v>
      </c>
      <c r="B741" s="25">
        <v>46097.90749081019</v>
      </c>
      <c r="C741" s="21" t="s">
        <v>56</v>
      </c>
      <c r="D741" s="21" t="s">
        <v>2872</v>
      </c>
      <c r="E741" s="26" t="s">
        <v>2873</v>
      </c>
      <c r="F741" s="21" t="s">
        <v>18</v>
      </c>
      <c r="G741" s="21" t="s">
        <v>2874</v>
      </c>
      <c r="H741" s="21" t="s">
        <v>36</v>
      </c>
      <c r="I741" s="21" t="s">
        <v>2875</v>
      </c>
      <c r="K741" s="21">
        <v>1.1982104060081E14</v>
      </c>
      <c r="M741" s="15"/>
      <c r="N741" s="15"/>
      <c r="O741" s="15"/>
    </row>
    <row r="742" ht="22.5" customHeight="1">
      <c r="A742" s="32" t="str">
        <f t="shared" si="1"/>
        <v>3/2026</v>
      </c>
      <c r="B742" s="25">
        <v>46098.727667604166</v>
      </c>
      <c r="C742" s="21" t="s">
        <v>308</v>
      </c>
      <c r="D742" s="21" t="s">
        <v>655</v>
      </c>
      <c r="E742" s="26" t="s">
        <v>2876</v>
      </c>
      <c r="F742" s="21" t="s">
        <v>106</v>
      </c>
      <c r="G742" s="21" t="s">
        <v>217</v>
      </c>
      <c r="H742" s="21" t="s">
        <v>44</v>
      </c>
      <c r="I742" s="21" t="s">
        <v>2877</v>
      </c>
      <c r="K742" s="21">
        <v>1.85826020700131E14</v>
      </c>
      <c r="M742" s="15"/>
      <c r="N742" s="15"/>
      <c r="O742" s="15"/>
    </row>
    <row r="743" ht="22.5" customHeight="1">
      <c r="A743" s="32" t="str">
        <f t="shared" si="1"/>
        <v>3/2026</v>
      </c>
      <c r="B743" s="25">
        <v>46098.79415090277</v>
      </c>
      <c r="C743" s="21" t="s">
        <v>386</v>
      </c>
      <c r="D743" s="21" t="s">
        <v>2878</v>
      </c>
      <c r="E743" s="26" t="s">
        <v>2879</v>
      </c>
      <c r="F743" s="21" t="s">
        <v>18</v>
      </c>
      <c r="G743" s="21" t="s">
        <v>259</v>
      </c>
      <c r="H743" s="21" t="s">
        <v>36</v>
      </c>
      <c r="I743" s="21" t="s">
        <v>2880</v>
      </c>
      <c r="J743" s="21" t="s">
        <v>2881</v>
      </c>
      <c r="K743" s="21">
        <v>1.39824102800344E14</v>
      </c>
      <c r="M743" s="15"/>
      <c r="N743" s="15"/>
      <c r="O743" s="15"/>
    </row>
    <row r="744" ht="22.5" customHeight="1">
      <c r="A744" s="32" t="str">
        <f t="shared" si="1"/>
        <v>3/2026</v>
      </c>
      <c r="B744" s="25">
        <v>46098.798563703705</v>
      </c>
      <c r="C744" s="21" t="s">
        <v>386</v>
      </c>
      <c r="D744" s="21" t="s">
        <v>2882</v>
      </c>
      <c r="E744" s="26" t="s">
        <v>2883</v>
      </c>
      <c r="F744" s="21" t="s">
        <v>18</v>
      </c>
      <c r="G744" s="21" t="s">
        <v>259</v>
      </c>
      <c r="H744" s="21" t="s">
        <v>36</v>
      </c>
      <c r="I744" s="21" t="s">
        <v>2884</v>
      </c>
      <c r="J744" s="21" t="s">
        <v>2885</v>
      </c>
      <c r="K744" s="21">
        <v>1.39823112300253E14</v>
      </c>
      <c r="M744" s="15"/>
      <c r="N744" s="15"/>
      <c r="O744" s="15"/>
    </row>
    <row r="745" ht="22.5" customHeight="1">
      <c r="A745" s="32" t="str">
        <f t="shared" si="1"/>
        <v>3/2026</v>
      </c>
      <c r="B745" s="25">
        <v>46098.84392195602</v>
      </c>
      <c r="C745" s="21" t="s">
        <v>51</v>
      </c>
      <c r="D745" s="21" t="s">
        <v>428</v>
      </c>
      <c r="E745" s="26" t="s">
        <v>2886</v>
      </c>
      <c r="F745" s="21" t="s">
        <v>18</v>
      </c>
      <c r="G745" s="21" t="s">
        <v>30</v>
      </c>
      <c r="H745" s="21" t="s">
        <v>20</v>
      </c>
      <c r="I745" s="30" t="s">
        <v>2887</v>
      </c>
      <c r="K745" s="21">
        <v>1.86825082100028E14</v>
      </c>
      <c r="M745" s="15"/>
      <c r="N745" s="15"/>
      <c r="O745" s="15"/>
    </row>
    <row r="746" ht="22.5" customHeight="1">
      <c r="A746" s="32" t="str">
        <f t="shared" si="1"/>
        <v>3/2026</v>
      </c>
      <c r="B746" s="25">
        <v>46099.31992164352</v>
      </c>
      <c r="C746" s="21" t="s">
        <v>56</v>
      </c>
      <c r="D746" s="21" t="s">
        <v>2888</v>
      </c>
      <c r="E746" s="26" t="s">
        <v>2889</v>
      </c>
      <c r="F746" s="21" t="s">
        <v>18</v>
      </c>
      <c r="G746" s="21" t="s">
        <v>2874</v>
      </c>
      <c r="H746" s="21" t="s">
        <v>36</v>
      </c>
      <c r="I746" s="21" t="s">
        <v>2890</v>
      </c>
      <c r="K746" s="21">
        <v>8.92823021000058E14</v>
      </c>
      <c r="M746" s="15"/>
      <c r="N746" s="15"/>
      <c r="O746" s="15"/>
    </row>
    <row r="747" ht="22.5" customHeight="1">
      <c r="A747" s="32" t="str">
        <f t="shared" si="1"/>
        <v>3/2026</v>
      </c>
      <c r="B747" s="25">
        <v>46099.518255393516</v>
      </c>
      <c r="C747" s="21" t="s">
        <v>214</v>
      </c>
      <c r="D747" s="21" t="s">
        <v>2891</v>
      </c>
      <c r="E747" s="26" t="s">
        <v>2892</v>
      </c>
      <c r="F747" s="21" t="s">
        <v>18</v>
      </c>
      <c r="G747" s="21" t="s">
        <v>1016</v>
      </c>
      <c r="H747" s="21" t="s">
        <v>36</v>
      </c>
      <c r="I747" s="21" t="s">
        <v>2893</v>
      </c>
      <c r="J747" s="21" t="s">
        <v>2343</v>
      </c>
      <c r="K747" s="21">
        <v>1.3982409270046E14</v>
      </c>
      <c r="M747" s="15"/>
      <c r="N747" s="15"/>
      <c r="O747" s="15"/>
    </row>
    <row r="748" ht="22.5" customHeight="1">
      <c r="A748" s="32" t="str">
        <f t="shared" si="1"/>
        <v>3/2026</v>
      </c>
      <c r="B748" s="25">
        <v>46099.62073684028</v>
      </c>
      <c r="C748" s="21" t="s">
        <v>77</v>
      </c>
      <c r="D748" s="21" t="s">
        <v>2894</v>
      </c>
      <c r="E748" s="26" t="s">
        <v>2895</v>
      </c>
      <c r="F748" s="21" t="s">
        <v>64</v>
      </c>
      <c r="G748" s="21" t="s">
        <v>2896</v>
      </c>
      <c r="H748" s="21" t="s">
        <v>44</v>
      </c>
      <c r="I748" s="29" t="s">
        <v>2897</v>
      </c>
      <c r="J748" s="21" t="s">
        <v>2898</v>
      </c>
      <c r="K748" s="21">
        <v>1.85826020700123E14</v>
      </c>
      <c r="M748" s="15"/>
      <c r="N748" s="15"/>
      <c r="O748" s="15"/>
    </row>
    <row r="749" ht="22.5" customHeight="1">
      <c r="A749" s="32" t="str">
        <f t="shared" si="1"/>
        <v>3/2026</v>
      </c>
      <c r="B749" s="25">
        <v>46099.646730671295</v>
      </c>
      <c r="C749" s="21" t="s">
        <v>115</v>
      </c>
      <c r="D749" s="21" t="s">
        <v>2869</v>
      </c>
      <c r="E749" s="26" t="s">
        <v>2899</v>
      </c>
      <c r="F749" s="21" t="s">
        <v>118</v>
      </c>
      <c r="G749" s="21" t="s">
        <v>1287</v>
      </c>
      <c r="H749" s="21" t="s">
        <v>36</v>
      </c>
      <c r="I749" s="21" t="s">
        <v>2900</v>
      </c>
      <c r="J749" s="21" t="s">
        <v>965</v>
      </c>
      <c r="K749" s="21" t="s">
        <v>122</v>
      </c>
      <c r="L749" s="21">
        <v>19.0</v>
      </c>
      <c r="M749" s="15"/>
      <c r="N749" s="15"/>
      <c r="O749" s="15"/>
    </row>
    <row r="750" ht="22.5" customHeight="1">
      <c r="A750" s="32" t="str">
        <f t="shared" si="1"/>
        <v>3/2026</v>
      </c>
      <c r="B750" s="25">
        <v>46099.72526652778</v>
      </c>
      <c r="C750" s="21" t="s">
        <v>386</v>
      </c>
      <c r="D750" s="21" t="s">
        <v>2901</v>
      </c>
      <c r="E750" s="26" t="s">
        <v>2902</v>
      </c>
      <c r="F750" s="21" t="s">
        <v>18</v>
      </c>
      <c r="G750" s="21">
        <v>3626.0</v>
      </c>
      <c r="H750" s="21" t="s">
        <v>20</v>
      </c>
      <c r="I750" s="21" t="s">
        <v>2903</v>
      </c>
      <c r="J750" s="21" t="s">
        <v>2904</v>
      </c>
      <c r="K750" s="21">
        <v>1.86825082100177E14</v>
      </c>
      <c r="M750" s="15"/>
      <c r="N750" s="15"/>
      <c r="O750" s="15"/>
    </row>
    <row r="751" ht="22.5" customHeight="1">
      <c r="A751" s="32" t="str">
        <f t="shared" si="1"/>
        <v>3/2026</v>
      </c>
      <c r="B751" s="25">
        <v>46099.802217476856</v>
      </c>
      <c r="C751" s="21" t="s">
        <v>39</v>
      </c>
      <c r="D751" s="21" t="s">
        <v>1895</v>
      </c>
      <c r="E751" s="26" t="s">
        <v>2905</v>
      </c>
      <c r="F751" s="21" t="s">
        <v>42</v>
      </c>
      <c r="G751" s="21" t="s">
        <v>217</v>
      </c>
      <c r="H751" s="21" t="s">
        <v>44</v>
      </c>
      <c r="I751" s="21" t="s">
        <v>2906</v>
      </c>
      <c r="K751" s="21">
        <v>1.85826020700029E14</v>
      </c>
      <c r="M751" s="15"/>
      <c r="N751" s="15"/>
      <c r="O751" s="15"/>
    </row>
    <row r="752" ht="22.5" customHeight="1">
      <c r="A752" s="32" t="str">
        <f t="shared" si="1"/>
        <v>3/2026</v>
      </c>
      <c r="B752" s="25">
        <v>46100.79075880787</v>
      </c>
      <c r="C752" s="21" t="s">
        <v>1181</v>
      </c>
      <c r="D752" s="21" t="s">
        <v>2907</v>
      </c>
      <c r="E752" s="26" t="s">
        <v>2908</v>
      </c>
      <c r="F752" s="21" t="s">
        <v>18</v>
      </c>
      <c r="G752" s="21" t="s">
        <v>2909</v>
      </c>
      <c r="H752" s="21" t="s">
        <v>141</v>
      </c>
      <c r="I752" s="21" t="s">
        <v>2910</v>
      </c>
      <c r="J752" s="21" t="s">
        <v>2911</v>
      </c>
      <c r="K752" s="21">
        <v>1.85826020700075E14</v>
      </c>
      <c r="L752" s="21">
        <v>15.0</v>
      </c>
      <c r="M752" s="15"/>
      <c r="N752" s="15"/>
      <c r="O752" s="15"/>
    </row>
    <row r="753" ht="22.5" customHeight="1">
      <c r="A753" s="32" t="str">
        <f t="shared" si="1"/>
        <v>3/2026</v>
      </c>
      <c r="B753" s="25">
        <v>46100.792962430554</v>
      </c>
      <c r="C753" s="21" t="s">
        <v>1181</v>
      </c>
      <c r="D753" s="21" t="s">
        <v>2912</v>
      </c>
      <c r="E753" s="26" t="s">
        <v>333</v>
      </c>
      <c r="F753" s="21" t="s">
        <v>18</v>
      </c>
      <c r="G753" s="21" t="s">
        <v>2909</v>
      </c>
      <c r="H753" s="21" t="s">
        <v>141</v>
      </c>
      <c r="I753" s="21" t="s">
        <v>2913</v>
      </c>
      <c r="J753" s="21" t="s">
        <v>2914</v>
      </c>
      <c r="K753" s="21">
        <v>1.85826020700063E14</v>
      </c>
      <c r="L753" s="21">
        <v>10.0</v>
      </c>
      <c r="M753" s="15"/>
      <c r="N753" s="15"/>
      <c r="O753" s="15"/>
    </row>
    <row r="754" ht="22.5" customHeight="1">
      <c r="A754" s="32" t="str">
        <f t="shared" si="1"/>
        <v>3/2026</v>
      </c>
      <c r="B754" s="25">
        <v>46100.795991122686</v>
      </c>
      <c r="C754" s="21" t="s">
        <v>1181</v>
      </c>
      <c r="D754" s="21" t="s">
        <v>2915</v>
      </c>
      <c r="E754" s="26" t="s">
        <v>2916</v>
      </c>
      <c r="F754" s="21" t="s">
        <v>18</v>
      </c>
      <c r="G754" s="21" t="s">
        <v>2917</v>
      </c>
      <c r="H754" s="21" t="s">
        <v>36</v>
      </c>
      <c r="I754" s="30" t="s">
        <v>2918</v>
      </c>
      <c r="J754" s="21" t="s">
        <v>2919</v>
      </c>
      <c r="K754" s="21">
        <v>1.39824092700204E14</v>
      </c>
      <c r="L754" s="21">
        <v>16.0</v>
      </c>
      <c r="M754" s="15"/>
      <c r="N754" s="15"/>
      <c r="O754" s="15"/>
    </row>
    <row r="755" ht="22.5" customHeight="1">
      <c r="A755" s="32" t="str">
        <f t="shared" si="1"/>
        <v>3/2026</v>
      </c>
      <c r="B755" s="25">
        <v>46100.79927670139</v>
      </c>
      <c r="C755" s="21" t="s">
        <v>1181</v>
      </c>
      <c r="D755" s="21" t="s">
        <v>2920</v>
      </c>
      <c r="E755" s="26" t="s">
        <v>2921</v>
      </c>
      <c r="F755" s="21" t="s">
        <v>18</v>
      </c>
      <c r="G755" s="21" t="s">
        <v>2922</v>
      </c>
      <c r="H755" s="21" t="s">
        <v>36</v>
      </c>
      <c r="I755" s="21" t="s">
        <v>2923</v>
      </c>
      <c r="J755" s="21" t="s">
        <v>2924</v>
      </c>
      <c r="K755" s="21">
        <v>1.19823091200176E14</v>
      </c>
      <c r="L755" s="21">
        <v>23.0</v>
      </c>
      <c r="M755" s="15"/>
      <c r="N755" s="15"/>
      <c r="O755" s="15"/>
    </row>
    <row r="756" ht="22.5" customHeight="1">
      <c r="A756" s="32" t="str">
        <f t="shared" si="1"/>
        <v>3/2026</v>
      </c>
      <c r="B756" s="25">
        <v>46100.80186612268</v>
      </c>
      <c r="C756" s="21" t="s">
        <v>1181</v>
      </c>
      <c r="D756" s="21" t="s">
        <v>2925</v>
      </c>
      <c r="E756" s="26" t="s">
        <v>2636</v>
      </c>
      <c r="F756" s="21" t="s">
        <v>18</v>
      </c>
      <c r="G756" s="21" t="s">
        <v>2926</v>
      </c>
      <c r="H756" s="21" t="s">
        <v>141</v>
      </c>
      <c r="I756" s="29" t="s">
        <v>2927</v>
      </c>
      <c r="J756" s="21" t="s">
        <v>2928</v>
      </c>
      <c r="K756" s="21" t="s">
        <v>55</v>
      </c>
      <c r="L756" s="21">
        <v>17.0</v>
      </c>
      <c r="M756" s="15"/>
      <c r="N756" s="15"/>
      <c r="O756" s="15"/>
    </row>
    <row r="757" ht="22.5" customHeight="1">
      <c r="A757" s="32" t="str">
        <f t="shared" si="1"/>
        <v>3/2026</v>
      </c>
      <c r="B757" s="25">
        <v>46100.808894745365</v>
      </c>
      <c r="C757" s="21" t="s">
        <v>1181</v>
      </c>
      <c r="D757" s="21" t="s">
        <v>2929</v>
      </c>
      <c r="E757" s="26" t="s">
        <v>1550</v>
      </c>
      <c r="F757" s="21" t="s">
        <v>18</v>
      </c>
      <c r="G757" s="21" t="s">
        <v>2930</v>
      </c>
      <c r="H757" s="21" t="s">
        <v>141</v>
      </c>
      <c r="I757" s="29" t="s">
        <v>2931</v>
      </c>
      <c r="J757" s="21" t="s">
        <v>2932</v>
      </c>
      <c r="K757" s="21" t="s">
        <v>55</v>
      </c>
      <c r="L757" s="21">
        <v>9.0</v>
      </c>
      <c r="M757" s="15"/>
      <c r="N757" s="15"/>
      <c r="O757" s="15"/>
    </row>
    <row r="758" ht="22.5" customHeight="1">
      <c r="A758" s="32" t="str">
        <f t="shared" si="1"/>
        <v>3/2026</v>
      </c>
      <c r="B758" s="25">
        <v>46100.8147375</v>
      </c>
      <c r="C758" s="21" t="s">
        <v>1181</v>
      </c>
      <c r="D758" s="21" t="s">
        <v>2933</v>
      </c>
      <c r="E758" s="26" t="s">
        <v>2934</v>
      </c>
      <c r="F758" s="21" t="s">
        <v>18</v>
      </c>
      <c r="G758" s="21" t="s">
        <v>1183</v>
      </c>
      <c r="H758" s="21" t="s">
        <v>141</v>
      </c>
      <c r="I758" s="21" t="s">
        <v>2935</v>
      </c>
      <c r="J758" s="21" t="s">
        <v>2936</v>
      </c>
      <c r="K758" s="21" t="s">
        <v>2937</v>
      </c>
      <c r="L758" s="21">
        <v>10.0</v>
      </c>
      <c r="M758" s="15"/>
      <c r="N758" s="15"/>
      <c r="O758" s="15"/>
    </row>
    <row r="759" ht="22.5" customHeight="1">
      <c r="A759" s="32" t="str">
        <f t="shared" si="1"/>
        <v>3/2026</v>
      </c>
      <c r="B759" s="25">
        <v>46100.81665729167</v>
      </c>
      <c r="C759" s="21" t="s">
        <v>1181</v>
      </c>
      <c r="D759" s="21" t="s">
        <v>2938</v>
      </c>
      <c r="E759" s="26" t="s">
        <v>2107</v>
      </c>
      <c r="F759" s="21" t="s">
        <v>18</v>
      </c>
      <c r="G759" s="21" t="s">
        <v>2939</v>
      </c>
      <c r="H759" s="21" t="s">
        <v>141</v>
      </c>
      <c r="I759" s="21" t="s">
        <v>2940</v>
      </c>
      <c r="J759" s="21" t="s">
        <v>2941</v>
      </c>
      <c r="K759" s="21" t="s">
        <v>55</v>
      </c>
      <c r="L759" s="21">
        <v>8.0</v>
      </c>
      <c r="M759" s="15"/>
      <c r="N759" s="15"/>
      <c r="O759" s="15"/>
    </row>
    <row r="760" ht="22.5" customHeight="1">
      <c r="A760" s="32" t="str">
        <f t="shared" si="1"/>
        <v>3/2026</v>
      </c>
      <c r="B760" s="25">
        <v>46100.81860240741</v>
      </c>
      <c r="C760" s="21" t="s">
        <v>1181</v>
      </c>
      <c r="D760" s="21" t="s">
        <v>2942</v>
      </c>
      <c r="E760" s="26" t="s">
        <v>2943</v>
      </c>
      <c r="F760" s="21" t="s">
        <v>18</v>
      </c>
      <c r="G760" s="21" t="s">
        <v>2909</v>
      </c>
      <c r="H760" s="21" t="s">
        <v>141</v>
      </c>
      <c r="I760" s="29" t="s">
        <v>2944</v>
      </c>
      <c r="J760" s="21" t="s">
        <v>2945</v>
      </c>
      <c r="K760" s="21" t="s">
        <v>55</v>
      </c>
      <c r="L760" s="21">
        <v>15.0</v>
      </c>
      <c r="M760" s="15"/>
      <c r="N760" s="15"/>
      <c r="O760" s="15"/>
    </row>
    <row r="761" ht="22.5" customHeight="1">
      <c r="A761" s="32" t="str">
        <f t="shared" si="1"/>
        <v>3/2026</v>
      </c>
      <c r="B761" s="25">
        <v>46100.82046769676</v>
      </c>
      <c r="C761" s="21" t="s">
        <v>1181</v>
      </c>
      <c r="D761" s="21" t="s">
        <v>2946</v>
      </c>
      <c r="E761" s="26" t="s">
        <v>1791</v>
      </c>
      <c r="F761" s="21" t="s">
        <v>18</v>
      </c>
      <c r="G761" s="21" t="s">
        <v>2926</v>
      </c>
      <c r="H761" s="21" t="s">
        <v>141</v>
      </c>
      <c r="I761" s="31" t="s">
        <v>2947</v>
      </c>
      <c r="J761" s="21" t="s">
        <v>2948</v>
      </c>
      <c r="K761" s="21" t="s">
        <v>55</v>
      </c>
      <c r="L761" s="21">
        <v>10.0</v>
      </c>
      <c r="M761" s="15"/>
      <c r="N761" s="15"/>
      <c r="O761" s="15"/>
    </row>
    <row r="762" ht="22.5" customHeight="1">
      <c r="A762" s="32" t="str">
        <f t="shared" si="1"/>
        <v>3/2026</v>
      </c>
      <c r="B762" s="25">
        <v>46100.823182106484</v>
      </c>
      <c r="C762" s="21" t="s">
        <v>1181</v>
      </c>
      <c r="D762" s="21" t="s">
        <v>2949</v>
      </c>
      <c r="E762" s="26" t="s">
        <v>2950</v>
      </c>
      <c r="F762" s="21" t="s">
        <v>18</v>
      </c>
      <c r="G762" s="21" t="s">
        <v>2951</v>
      </c>
      <c r="H762" s="21" t="s">
        <v>141</v>
      </c>
      <c r="I762" s="21" t="s">
        <v>2952</v>
      </c>
      <c r="J762" s="21" t="s">
        <v>2953</v>
      </c>
      <c r="K762" s="21" t="s">
        <v>55</v>
      </c>
      <c r="L762" s="21">
        <v>9.0</v>
      </c>
      <c r="M762" s="15"/>
      <c r="N762" s="15"/>
      <c r="O762" s="15"/>
    </row>
    <row r="763" ht="22.5" customHeight="1">
      <c r="A763" s="32" t="str">
        <f t="shared" si="1"/>
        <v>3/2026</v>
      </c>
      <c r="B763" s="25">
        <v>46100.89702200232</v>
      </c>
      <c r="C763" s="21" t="s">
        <v>408</v>
      </c>
      <c r="D763" s="21" t="s">
        <v>2954</v>
      </c>
      <c r="E763" s="26" t="s">
        <v>2955</v>
      </c>
      <c r="F763" s="21" t="s">
        <v>118</v>
      </c>
      <c r="G763" s="21" t="s">
        <v>734</v>
      </c>
      <c r="H763" s="21" t="s">
        <v>44</v>
      </c>
      <c r="I763" s="21" t="s">
        <v>2956</v>
      </c>
      <c r="J763" s="21" t="s">
        <v>2957</v>
      </c>
      <c r="K763" s="21">
        <v>1.85826020700121E14</v>
      </c>
      <c r="M763" s="15"/>
      <c r="N763" s="15"/>
      <c r="O763" s="15"/>
    </row>
    <row r="764" ht="22.5" customHeight="1">
      <c r="A764" s="32" t="str">
        <f t="shared" si="1"/>
        <v>3/2026</v>
      </c>
      <c r="B764" s="25">
        <v>46100.92621769676</v>
      </c>
      <c r="C764" s="21" t="s">
        <v>51</v>
      </c>
      <c r="D764" s="21" t="s">
        <v>2958</v>
      </c>
      <c r="E764" s="26" t="s">
        <v>2959</v>
      </c>
      <c r="F764" s="21" t="s">
        <v>18</v>
      </c>
      <c r="G764" s="21" t="s">
        <v>2752</v>
      </c>
      <c r="H764" s="21" t="s">
        <v>44</v>
      </c>
      <c r="I764" s="21" t="s">
        <v>2960</v>
      </c>
      <c r="K764" s="21">
        <v>1.85826020700082E14</v>
      </c>
      <c r="M764" s="15"/>
      <c r="N764" s="15"/>
      <c r="O764" s="15"/>
    </row>
    <row r="765" ht="22.5" customHeight="1">
      <c r="A765" s="32" t="str">
        <f t="shared" si="1"/>
        <v>3/2026</v>
      </c>
      <c r="B765" s="25">
        <v>46100.92762798611</v>
      </c>
      <c r="C765" s="21" t="s">
        <v>51</v>
      </c>
      <c r="D765" s="21" t="s">
        <v>2961</v>
      </c>
      <c r="E765" s="26" t="s">
        <v>333</v>
      </c>
      <c r="F765" s="21" t="s">
        <v>18</v>
      </c>
      <c r="G765" s="21" t="s">
        <v>2752</v>
      </c>
      <c r="H765" s="21" t="s">
        <v>20</v>
      </c>
      <c r="I765" s="21" t="s">
        <v>2962</v>
      </c>
      <c r="K765" s="21">
        <v>1.85826020700063E14</v>
      </c>
      <c r="M765" s="15"/>
      <c r="N765" s="15"/>
      <c r="O765" s="15"/>
    </row>
    <row r="766" ht="22.5" customHeight="1">
      <c r="A766" s="32" t="str">
        <f t="shared" si="1"/>
        <v>3/2026</v>
      </c>
      <c r="B766" s="25">
        <v>46101.40746087963</v>
      </c>
      <c r="C766" s="21" t="s">
        <v>132</v>
      </c>
      <c r="D766" s="21" t="s">
        <v>2963</v>
      </c>
      <c r="E766" s="26" t="s">
        <v>2237</v>
      </c>
      <c r="F766" s="21" t="s">
        <v>18</v>
      </c>
      <c r="G766" s="21" t="s">
        <v>217</v>
      </c>
      <c r="H766" s="21" t="s">
        <v>1678</v>
      </c>
      <c r="I766" s="21" t="s">
        <v>2964</v>
      </c>
      <c r="K766" s="21">
        <v>1.85825082200066E14</v>
      </c>
      <c r="M766" s="15"/>
      <c r="N766" s="15"/>
      <c r="O766" s="15"/>
    </row>
    <row r="767" ht="22.5" customHeight="1">
      <c r="A767" s="32" t="str">
        <f t="shared" si="1"/>
        <v>3/2026</v>
      </c>
      <c r="B767" s="25">
        <v>46101.409821099536</v>
      </c>
      <c r="C767" s="21" t="s">
        <v>132</v>
      </c>
      <c r="D767" s="21" t="s">
        <v>2965</v>
      </c>
      <c r="E767" s="26" t="s">
        <v>2966</v>
      </c>
      <c r="F767" s="21" t="s">
        <v>18</v>
      </c>
      <c r="G767" s="21" t="s">
        <v>217</v>
      </c>
      <c r="H767" s="21" t="s">
        <v>20</v>
      </c>
      <c r="I767" s="21" t="s">
        <v>2967</v>
      </c>
      <c r="K767" s="21">
        <v>1.85826020700022E14</v>
      </c>
      <c r="M767" s="15"/>
      <c r="N767" s="15"/>
      <c r="O767" s="15"/>
    </row>
    <row r="768" ht="22.5" customHeight="1">
      <c r="A768" s="32" t="str">
        <f t="shared" si="1"/>
        <v>3/2026</v>
      </c>
      <c r="B768" s="25">
        <v>46101.411201932875</v>
      </c>
      <c r="C768" s="21" t="s">
        <v>132</v>
      </c>
      <c r="D768" s="21" t="s">
        <v>2968</v>
      </c>
      <c r="E768" s="26" t="s">
        <v>2969</v>
      </c>
      <c r="F768" s="21" t="s">
        <v>18</v>
      </c>
      <c r="G768" s="21">
        <v>3626.0</v>
      </c>
      <c r="H768" s="21" t="s">
        <v>20</v>
      </c>
      <c r="I768" s="21" t="s">
        <v>2970</v>
      </c>
      <c r="K768" s="21">
        <v>1.86825082100192E14</v>
      </c>
      <c r="M768" s="15"/>
      <c r="N768" s="15"/>
      <c r="O768" s="15"/>
    </row>
    <row r="769" ht="22.5" customHeight="1">
      <c r="A769" s="32" t="str">
        <f t="shared" si="1"/>
        <v>3/2026</v>
      </c>
      <c r="B769" s="25">
        <v>46101.413639907405</v>
      </c>
      <c r="C769" s="21" t="s">
        <v>132</v>
      </c>
      <c r="D769" s="21" t="s">
        <v>2971</v>
      </c>
      <c r="E769" s="26" t="s">
        <v>2972</v>
      </c>
      <c r="F769" s="21" t="s">
        <v>18</v>
      </c>
      <c r="G769" s="21" t="s">
        <v>161</v>
      </c>
      <c r="H769" s="21" t="s">
        <v>20</v>
      </c>
      <c r="I769" s="21" t="s">
        <v>2973</v>
      </c>
      <c r="K769" s="21">
        <v>1.84825082100177E14</v>
      </c>
      <c r="M769" s="15"/>
      <c r="N769" s="15"/>
      <c r="O769" s="15"/>
    </row>
    <row r="770" ht="22.5" customHeight="1">
      <c r="A770" s="32" t="str">
        <f t="shared" si="1"/>
        <v>3/2026</v>
      </c>
      <c r="B770" s="25">
        <v>46101.81735074074</v>
      </c>
      <c r="C770" s="21" t="s">
        <v>15</v>
      </c>
      <c r="D770" s="21" t="s">
        <v>2974</v>
      </c>
      <c r="E770" s="26" t="s">
        <v>2908</v>
      </c>
      <c r="F770" s="21" t="s">
        <v>18</v>
      </c>
      <c r="G770" s="21" t="s">
        <v>19</v>
      </c>
      <c r="H770" s="21" t="s">
        <v>44</v>
      </c>
      <c r="I770" s="21" t="s">
        <v>2975</v>
      </c>
      <c r="K770" s="21">
        <v>1.85826020700075E14</v>
      </c>
      <c r="M770" s="15"/>
      <c r="N770" s="15"/>
      <c r="O770" s="15"/>
    </row>
    <row r="771" ht="22.5" customHeight="1">
      <c r="A771" s="32" t="str">
        <f t="shared" si="1"/>
        <v>3/2026</v>
      </c>
      <c r="B771" s="25">
        <v>46101.841363680556</v>
      </c>
      <c r="C771" s="21" t="s">
        <v>1181</v>
      </c>
      <c r="D771" s="21" t="s">
        <v>692</v>
      </c>
      <c r="E771" s="26" t="s">
        <v>2976</v>
      </c>
      <c r="F771" s="21" t="s">
        <v>18</v>
      </c>
      <c r="G771" s="21" t="s">
        <v>1505</v>
      </c>
      <c r="H771" s="21" t="s">
        <v>36</v>
      </c>
      <c r="I771" s="21" t="s">
        <v>2977</v>
      </c>
      <c r="J771" s="21" t="s">
        <v>2978</v>
      </c>
      <c r="K771" s="21">
        <v>1.19824092800013E14</v>
      </c>
      <c r="L771" s="21">
        <v>16.0</v>
      </c>
      <c r="M771" s="15"/>
      <c r="N771" s="15"/>
      <c r="O771" s="15"/>
    </row>
    <row r="772" ht="22.5" customHeight="1">
      <c r="A772" s="32" t="str">
        <f t="shared" si="1"/>
        <v>3/2026</v>
      </c>
      <c r="B772" s="25">
        <v>46102.41223037037</v>
      </c>
      <c r="C772" s="21" t="s">
        <v>1537</v>
      </c>
      <c r="D772" s="21" t="s">
        <v>2979</v>
      </c>
      <c r="E772" s="26" t="s">
        <v>2980</v>
      </c>
      <c r="F772" s="21" t="s">
        <v>1540</v>
      </c>
      <c r="G772" s="21" t="s">
        <v>304</v>
      </c>
      <c r="H772" s="21" t="s">
        <v>20</v>
      </c>
      <c r="I772" s="21" t="s">
        <v>2981</v>
      </c>
      <c r="K772" s="21">
        <v>1.65825082200078E14</v>
      </c>
      <c r="M772" s="15"/>
      <c r="N772" s="15"/>
      <c r="O772" s="15"/>
    </row>
    <row r="773" ht="22.5" customHeight="1">
      <c r="A773" s="32" t="str">
        <f t="shared" si="1"/>
        <v>3/2026</v>
      </c>
      <c r="B773" s="25">
        <v>46102.520284143524</v>
      </c>
      <c r="C773" s="21" t="s">
        <v>115</v>
      </c>
      <c r="D773" s="21" t="s">
        <v>2982</v>
      </c>
      <c r="E773" s="26" t="s">
        <v>2983</v>
      </c>
      <c r="F773" s="21" t="s">
        <v>2984</v>
      </c>
      <c r="G773" s="21" t="s">
        <v>2985</v>
      </c>
      <c r="H773" s="21" t="s">
        <v>141</v>
      </c>
      <c r="I773" s="21" t="s">
        <v>2986</v>
      </c>
      <c r="J773" s="21" t="s">
        <v>2987</v>
      </c>
      <c r="K773" s="21" t="s">
        <v>122</v>
      </c>
      <c r="M773" s="15"/>
      <c r="N773" s="15"/>
      <c r="O773" s="15"/>
    </row>
    <row r="774" ht="22.5" customHeight="1">
      <c r="A774" s="32" t="str">
        <f t="shared" si="1"/>
        <v>3/2026</v>
      </c>
      <c r="B774" s="25">
        <v>46102.593965625</v>
      </c>
      <c r="C774" s="21" t="s">
        <v>1181</v>
      </c>
      <c r="D774" s="21" t="s">
        <v>2988</v>
      </c>
      <c r="E774" s="26" t="s">
        <v>2989</v>
      </c>
      <c r="F774" s="21" t="s">
        <v>18</v>
      </c>
      <c r="G774" s="21" t="s">
        <v>1505</v>
      </c>
      <c r="H774" s="21" t="s">
        <v>141</v>
      </c>
      <c r="I774" s="29" t="s">
        <v>2990</v>
      </c>
      <c r="K774" s="21" t="s">
        <v>55</v>
      </c>
      <c r="L774" s="21">
        <v>19.0</v>
      </c>
      <c r="M774" s="15"/>
      <c r="N774" s="15"/>
      <c r="O774" s="15"/>
    </row>
    <row r="775" ht="22.5" customHeight="1">
      <c r="A775" s="32" t="str">
        <f t="shared" si="1"/>
        <v>3/2026</v>
      </c>
      <c r="B775" s="25">
        <v>46102.59621079861</v>
      </c>
      <c r="C775" s="21" t="s">
        <v>1181</v>
      </c>
      <c r="D775" s="21" t="s">
        <v>2991</v>
      </c>
      <c r="E775" s="26" t="s">
        <v>2992</v>
      </c>
      <c r="F775" s="21" t="s">
        <v>18</v>
      </c>
      <c r="G775" s="21" t="s">
        <v>1505</v>
      </c>
      <c r="H775" s="21" t="s">
        <v>36</v>
      </c>
      <c r="I775" s="21" t="s">
        <v>2993</v>
      </c>
      <c r="J775" s="21" t="s">
        <v>417</v>
      </c>
      <c r="K775" s="21">
        <v>1.19824092800247E14</v>
      </c>
      <c r="L775" s="21">
        <v>5.0</v>
      </c>
      <c r="M775" s="15"/>
      <c r="N775" s="15"/>
      <c r="O775" s="15"/>
    </row>
    <row r="776" ht="22.5" customHeight="1">
      <c r="A776" s="32" t="str">
        <f t="shared" si="1"/>
        <v>3/2026</v>
      </c>
      <c r="B776" s="25">
        <v>46102.75271940972</v>
      </c>
      <c r="C776" s="21" t="s">
        <v>32</v>
      </c>
      <c r="D776" s="21" t="s">
        <v>2994</v>
      </c>
      <c r="E776" s="26" t="s">
        <v>2995</v>
      </c>
      <c r="F776" s="21" t="s">
        <v>18</v>
      </c>
      <c r="G776" s="21" t="s">
        <v>2996</v>
      </c>
      <c r="H776" s="21" t="s">
        <v>36</v>
      </c>
      <c r="I776" s="21" t="s">
        <v>2997</v>
      </c>
      <c r="K776" s="21">
        <v>8.92821012300119E14</v>
      </c>
      <c r="M776" s="15"/>
      <c r="N776" s="15"/>
      <c r="O776" s="15"/>
    </row>
    <row r="777" ht="22.5" customHeight="1">
      <c r="A777" s="32" t="str">
        <f t="shared" si="1"/>
        <v>3/2026</v>
      </c>
      <c r="B777" s="25">
        <v>46102.82912984954</v>
      </c>
      <c r="C777" s="21" t="s">
        <v>1181</v>
      </c>
      <c r="D777" s="21" t="s">
        <v>72</v>
      </c>
      <c r="E777" s="21" t="s">
        <v>2998</v>
      </c>
      <c r="F777" s="21" t="s">
        <v>18</v>
      </c>
      <c r="G777" s="21" t="s">
        <v>1505</v>
      </c>
      <c r="H777" s="21" t="s">
        <v>36</v>
      </c>
      <c r="I777" s="21" t="s">
        <v>2999</v>
      </c>
      <c r="J777" s="21" t="s">
        <v>2163</v>
      </c>
      <c r="K777" s="21">
        <v>1.39823112300235E14</v>
      </c>
      <c r="L777" s="21">
        <v>20.0</v>
      </c>
      <c r="M777" s="15"/>
      <c r="N777" s="15"/>
      <c r="O777" s="15"/>
    </row>
    <row r="778" ht="22.5" customHeight="1">
      <c r="A778" s="32" t="str">
        <f t="shared" si="1"/>
        <v>3/2026</v>
      </c>
      <c r="B778" s="25">
        <v>46103.80427199074</v>
      </c>
      <c r="C778" s="21" t="s">
        <v>3000</v>
      </c>
      <c r="D778" s="21" t="s">
        <v>857</v>
      </c>
      <c r="E778" s="26" t="s">
        <v>3001</v>
      </c>
      <c r="F778" s="21" t="s">
        <v>3002</v>
      </c>
      <c r="G778" s="21" t="s">
        <v>1415</v>
      </c>
      <c r="H778" s="21" t="s">
        <v>20</v>
      </c>
      <c r="I778" s="21" t="s">
        <v>3003</v>
      </c>
      <c r="J778" s="21" t="s">
        <v>3004</v>
      </c>
      <c r="K778" s="21">
        <v>1.83825082100051E14</v>
      </c>
      <c r="L778" s="21">
        <v>50.0</v>
      </c>
      <c r="M778" s="15"/>
      <c r="N778" s="15"/>
      <c r="O778" s="15"/>
    </row>
    <row r="779" ht="22.5" customHeight="1">
      <c r="A779" s="32" t="str">
        <f t="shared" si="1"/>
        <v>3/2026</v>
      </c>
      <c r="B779" s="25">
        <v>46104.393231064816</v>
      </c>
      <c r="C779" s="21" t="s">
        <v>386</v>
      </c>
      <c r="D779" s="21" t="s">
        <v>2901</v>
      </c>
      <c r="E779" s="26" t="s">
        <v>2902</v>
      </c>
      <c r="F779" s="21" t="s">
        <v>18</v>
      </c>
      <c r="G779" s="21" t="s">
        <v>3005</v>
      </c>
      <c r="H779" s="21" t="s">
        <v>20</v>
      </c>
      <c r="I779" s="21" t="s">
        <v>3006</v>
      </c>
      <c r="J779" s="21" t="s">
        <v>3007</v>
      </c>
      <c r="K779" s="21">
        <v>1.86825082100018E14</v>
      </c>
      <c r="M779" s="15"/>
      <c r="N779" s="15"/>
      <c r="O779" s="15"/>
    </row>
    <row r="780" ht="22.5" customHeight="1">
      <c r="A780" s="32" t="str">
        <f t="shared" si="1"/>
        <v>3/2026</v>
      </c>
      <c r="B780" s="25">
        <v>46104.43858534722</v>
      </c>
      <c r="C780" s="21" t="s">
        <v>3008</v>
      </c>
      <c r="D780" s="21" t="s">
        <v>3009</v>
      </c>
      <c r="E780" s="26" t="s">
        <v>3010</v>
      </c>
      <c r="F780" s="21" t="s">
        <v>303</v>
      </c>
      <c r="G780" s="21" t="s">
        <v>3011</v>
      </c>
      <c r="H780" s="21" t="s">
        <v>36</v>
      </c>
      <c r="I780" s="21" t="s">
        <v>3012</v>
      </c>
      <c r="K780" s="21">
        <v>8.92821012300141E14</v>
      </c>
      <c r="M780" s="15"/>
      <c r="N780" s="15"/>
      <c r="O780" s="15"/>
    </row>
    <row r="781" ht="22.5" customHeight="1">
      <c r="A781" s="32" t="str">
        <f t="shared" si="1"/>
        <v>3/2026</v>
      </c>
      <c r="B781" s="25">
        <v>46104.458632511574</v>
      </c>
      <c r="C781" s="21" t="s">
        <v>308</v>
      </c>
      <c r="D781" s="21" t="s">
        <v>3013</v>
      </c>
      <c r="E781" s="26" t="s">
        <v>3014</v>
      </c>
      <c r="F781" s="21" t="s">
        <v>106</v>
      </c>
      <c r="G781" s="21" t="s">
        <v>1415</v>
      </c>
      <c r="H781" s="21" t="s">
        <v>36</v>
      </c>
      <c r="I781" s="21" t="s">
        <v>3015</v>
      </c>
      <c r="J781" s="21" t="s">
        <v>1806</v>
      </c>
      <c r="K781" s="21">
        <v>1.39824091100136E14</v>
      </c>
      <c r="M781" s="15"/>
      <c r="N781" s="15"/>
      <c r="O781" s="15"/>
    </row>
    <row r="782" ht="22.5" customHeight="1">
      <c r="A782" s="32" t="str">
        <f t="shared" si="1"/>
        <v>3/2026</v>
      </c>
      <c r="B782" s="25">
        <v>46104.461604027776</v>
      </c>
      <c r="C782" s="21" t="s">
        <v>308</v>
      </c>
      <c r="D782" s="21" t="s">
        <v>3016</v>
      </c>
      <c r="E782" s="26" t="s">
        <v>3017</v>
      </c>
      <c r="F782" s="21" t="s">
        <v>106</v>
      </c>
      <c r="G782" s="21" t="s">
        <v>1415</v>
      </c>
      <c r="H782" s="21" t="s">
        <v>36</v>
      </c>
      <c r="I782" s="21" t="s">
        <v>3018</v>
      </c>
      <c r="J782" s="21" t="s">
        <v>1806</v>
      </c>
      <c r="K782" s="21">
        <v>1.39824061500462E14</v>
      </c>
      <c r="M782" s="15"/>
      <c r="N782" s="15"/>
      <c r="O782" s="15"/>
    </row>
    <row r="783" ht="22.5" customHeight="1">
      <c r="A783" s="32" t="str">
        <f t="shared" si="1"/>
        <v>3/2026</v>
      </c>
      <c r="B783" s="25">
        <v>46104.569196111115</v>
      </c>
      <c r="C783" s="21" t="s">
        <v>3008</v>
      </c>
      <c r="D783" s="21" t="s">
        <v>1317</v>
      </c>
      <c r="E783" s="26" t="s">
        <v>3019</v>
      </c>
      <c r="F783" s="21" t="s">
        <v>303</v>
      </c>
      <c r="G783" s="21" t="s">
        <v>2533</v>
      </c>
      <c r="H783" s="21" t="s">
        <v>36</v>
      </c>
      <c r="I783" s="21" t="s">
        <v>3020</v>
      </c>
      <c r="J783" s="21" t="s">
        <v>3021</v>
      </c>
      <c r="K783" s="21">
        <v>1.19824092800135E14</v>
      </c>
      <c r="M783" s="15"/>
      <c r="N783" s="15"/>
      <c r="O783" s="15"/>
    </row>
    <row r="784" ht="22.5" customHeight="1">
      <c r="A784" s="32" t="str">
        <f t="shared" si="1"/>
        <v>3/2026</v>
      </c>
      <c r="B784" s="25">
        <v>46104.60201737269</v>
      </c>
      <c r="C784" s="21" t="s">
        <v>103</v>
      </c>
      <c r="D784" s="21" t="s">
        <v>3022</v>
      </c>
      <c r="E784" s="26" t="s">
        <v>3023</v>
      </c>
      <c r="F784" s="21" t="s">
        <v>106</v>
      </c>
      <c r="G784" s="21" t="s">
        <v>3024</v>
      </c>
      <c r="H784" s="21" t="s">
        <v>36</v>
      </c>
      <c r="I784" s="21" t="s">
        <v>3025</v>
      </c>
      <c r="J784" s="21" t="s">
        <v>3026</v>
      </c>
      <c r="K784" s="21">
        <v>1.39824092700033E14</v>
      </c>
      <c r="L784" s="21">
        <v>33.0</v>
      </c>
      <c r="M784" s="15"/>
      <c r="N784" s="15"/>
      <c r="O784" s="15"/>
    </row>
    <row r="785" ht="22.5" customHeight="1">
      <c r="A785" s="32" t="str">
        <f t="shared" si="1"/>
        <v>3/2026</v>
      </c>
      <c r="B785" s="25">
        <v>46104.61556016204</v>
      </c>
      <c r="C785" s="21" t="s">
        <v>123</v>
      </c>
      <c r="D785" s="21" t="s">
        <v>3027</v>
      </c>
      <c r="E785" s="21" t="s">
        <v>3028</v>
      </c>
      <c r="F785" s="21" t="s">
        <v>18</v>
      </c>
      <c r="G785" s="21" t="s">
        <v>373</v>
      </c>
      <c r="H785" s="21" t="s">
        <v>36</v>
      </c>
      <c r="I785" s="21" t="s">
        <v>3029</v>
      </c>
      <c r="J785" s="21" t="s">
        <v>1357</v>
      </c>
      <c r="K785" s="21">
        <v>8.92824061500328E14</v>
      </c>
      <c r="M785" s="15"/>
      <c r="N785" s="15"/>
      <c r="O785" s="15"/>
    </row>
    <row r="786" ht="22.5" customHeight="1">
      <c r="A786" s="32" t="str">
        <f t="shared" si="1"/>
        <v>3/2026</v>
      </c>
      <c r="B786" s="25">
        <v>46104.66312777778</v>
      </c>
      <c r="C786" s="21" t="s">
        <v>618</v>
      </c>
      <c r="D786" s="21" t="s">
        <v>3030</v>
      </c>
      <c r="E786" s="26" t="s">
        <v>3031</v>
      </c>
      <c r="F786" s="21" t="s">
        <v>118</v>
      </c>
      <c r="G786" s="21" t="s">
        <v>3032</v>
      </c>
      <c r="H786" s="21" t="s">
        <v>36</v>
      </c>
      <c r="I786" s="21" t="s">
        <v>3033</v>
      </c>
      <c r="J786" s="21" t="s">
        <v>3034</v>
      </c>
      <c r="K786" s="21">
        <v>1.1982409280004E14</v>
      </c>
      <c r="L786" s="21">
        <v>24.0</v>
      </c>
      <c r="M786" s="15"/>
      <c r="N786" s="15"/>
      <c r="O786" s="15"/>
    </row>
    <row r="787" ht="22.5" customHeight="1">
      <c r="A787" s="32" t="str">
        <f t="shared" si="1"/>
        <v>3/2026</v>
      </c>
      <c r="B787" s="25">
        <v>46104.66550863426</v>
      </c>
      <c r="C787" s="21" t="s">
        <v>618</v>
      </c>
      <c r="D787" s="21" t="s">
        <v>200</v>
      </c>
      <c r="E787" s="26" t="s">
        <v>3035</v>
      </c>
      <c r="F787" s="21" t="s">
        <v>118</v>
      </c>
      <c r="G787" s="21" t="s">
        <v>3036</v>
      </c>
      <c r="H787" s="21" t="s">
        <v>141</v>
      </c>
      <c r="I787" s="21" t="s">
        <v>3037</v>
      </c>
      <c r="J787" s="21" t="s">
        <v>3038</v>
      </c>
      <c r="K787" s="21" t="s">
        <v>3039</v>
      </c>
      <c r="L787" s="21">
        <v>23.0</v>
      </c>
      <c r="M787" s="15"/>
      <c r="N787" s="15"/>
      <c r="O787" s="15"/>
    </row>
    <row r="788" ht="22.5" customHeight="1">
      <c r="A788" s="32" t="str">
        <f t="shared" si="1"/>
        <v>3/2026</v>
      </c>
      <c r="B788" s="25">
        <v>46104.69882053241</v>
      </c>
      <c r="C788" s="21" t="s">
        <v>1181</v>
      </c>
      <c r="D788" s="21" t="s">
        <v>3040</v>
      </c>
      <c r="E788" s="26" t="s">
        <v>3041</v>
      </c>
      <c r="F788" s="21" t="s">
        <v>18</v>
      </c>
      <c r="G788" s="21" t="s">
        <v>1505</v>
      </c>
      <c r="H788" s="21" t="s">
        <v>36</v>
      </c>
      <c r="I788" s="21" t="s">
        <v>3042</v>
      </c>
      <c r="J788" s="21" t="s">
        <v>3043</v>
      </c>
      <c r="K788" s="21">
        <v>1.39822120800283E14</v>
      </c>
      <c r="L788" s="21">
        <v>20.0</v>
      </c>
      <c r="M788" s="15"/>
      <c r="N788" s="15"/>
      <c r="O788" s="15"/>
    </row>
    <row r="789" ht="22.5" customHeight="1">
      <c r="A789" s="32" t="str">
        <f t="shared" si="1"/>
        <v>3/2026</v>
      </c>
      <c r="B789" s="25">
        <v>46104.76916412037</v>
      </c>
      <c r="C789" s="21" t="s">
        <v>115</v>
      </c>
      <c r="D789" s="21" t="s">
        <v>3044</v>
      </c>
      <c r="E789" s="26" t="s">
        <v>1369</v>
      </c>
      <c r="F789" s="21" t="s">
        <v>1370</v>
      </c>
      <c r="G789" s="21" t="s">
        <v>3045</v>
      </c>
      <c r="H789" s="21" t="s">
        <v>141</v>
      </c>
      <c r="I789" s="21" t="s">
        <v>3046</v>
      </c>
      <c r="J789" s="21" t="s">
        <v>3047</v>
      </c>
      <c r="K789" s="21" t="s">
        <v>122</v>
      </c>
      <c r="M789" s="15"/>
      <c r="N789" s="15"/>
      <c r="O789" s="15"/>
    </row>
    <row r="790" ht="22.5" customHeight="1">
      <c r="A790" s="32" t="str">
        <f t="shared" si="1"/>
        <v>3/2026</v>
      </c>
      <c r="B790" s="25">
        <v>46104.770812800925</v>
      </c>
      <c r="C790" s="21" t="s">
        <v>115</v>
      </c>
      <c r="D790" s="21" t="s">
        <v>3048</v>
      </c>
      <c r="E790" s="26" t="s">
        <v>3049</v>
      </c>
      <c r="F790" s="21" t="s">
        <v>2984</v>
      </c>
      <c r="G790" s="21" t="s">
        <v>2502</v>
      </c>
      <c r="H790" s="21" t="s">
        <v>141</v>
      </c>
      <c r="I790" s="21" t="s">
        <v>3050</v>
      </c>
      <c r="J790" s="21" t="s">
        <v>3051</v>
      </c>
      <c r="K790" s="21" t="s">
        <v>122</v>
      </c>
      <c r="M790" s="15"/>
      <c r="N790" s="15"/>
      <c r="O790" s="15"/>
    </row>
    <row r="791" ht="22.5" customHeight="1">
      <c r="A791" s="32" t="str">
        <f t="shared" si="1"/>
        <v>3/2026</v>
      </c>
      <c r="B791" s="25">
        <v>46104.775920127315</v>
      </c>
      <c r="C791" s="21" t="s">
        <v>115</v>
      </c>
      <c r="D791" s="21" t="s">
        <v>3052</v>
      </c>
      <c r="E791" s="21" t="s">
        <v>3053</v>
      </c>
      <c r="F791" s="21" t="s">
        <v>118</v>
      </c>
      <c r="G791" s="21" t="s">
        <v>1121</v>
      </c>
      <c r="H791" s="21" t="s">
        <v>36</v>
      </c>
      <c r="I791" s="21" t="s">
        <v>3054</v>
      </c>
      <c r="J791" s="21" t="s">
        <v>965</v>
      </c>
      <c r="K791" s="21" t="s">
        <v>122</v>
      </c>
      <c r="M791" s="15"/>
      <c r="N791" s="15"/>
      <c r="O791" s="15"/>
    </row>
    <row r="792" ht="22.5" customHeight="1">
      <c r="A792" s="32" t="str">
        <f t="shared" si="1"/>
        <v>3/2026</v>
      </c>
      <c r="B792" s="25">
        <v>46104.77719238426</v>
      </c>
      <c r="C792" s="21" t="s">
        <v>115</v>
      </c>
      <c r="D792" s="21" t="s">
        <v>3055</v>
      </c>
      <c r="E792" s="26" t="s">
        <v>3056</v>
      </c>
      <c r="F792" s="21" t="s">
        <v>118</v>
      </c>
      <c r="G792" s="21" t="s">
        <v>1121</v>
      </c>
      <c r="H792" s="21" t="s">
        <v>36</v>
      </c>
      <c r="I792" s="21" t="s">
        <v>3057</v>
      </c>
      <c r="J792" s="21" t="s">
        <v>965</v>
      </c>
      <c r="K792" s="21" t="s">
        <v>122</v>
      </c>
      <c r="M792" s="15"/>
      <c r="N792" s="15"/>
      <c r="O792" s="15"/>
    </row>
    <row r="793" ht="22.5" customHeight="1">
      <c r="A793" s="32" t="str">
        <f t="shared" si="1"/>
        <v>3/2026</v>
      </c>
      <c r="B793" s="25">
        <v>46104.78892914351</v>
      </c>
      <c r="C793" s="21" t="s">
        <v>408</v>
      </c>
      <c r="D793" s="21" t="s">
        <v>3058</v>
      </c>
      <c r="E793" s="26" t="s">
        <v>3059</v>
      </c>
      <c r="F793" s="21" t="s">
        <v>118</v>
      </c>
      <c r="G793" s="21" t="s">
        <v>774</v>
      </c>
      <c r="H793" s="21" t="s">
        <v>141</v>
      </c>
      <c r="I793" s="21" t="s">
        <v>3060</v>
      </c>
      <c r="J793" s="21" t="s">
        <v>1608</v>
      </c>
      <c r="K793" s="21" t="s">
        <v>1609</v>
      </c>
      <c r="M793" s="15"/>
      <c r="N793" s="15"/>
      <c r="O793" s="15"/>
    </row>
    <row r="794" ht="22.5" customHeight="1">
      <c r="A794" s="32" t="str">
        <f t="shared" si="1"/>
        <v>3/2026</v>
      </c>
      <c r="B794" s="25">
        <v>46104.794752511574</v>
      </c>
      <c r="C794" s="21" t="s">
        <v>618</v>
      </c>
      <c r="D794" s="21" t="s">
        <v>1955</v>
      </c>
      <c r="E794" s="26" t="s">
        <v>3061</v>
      </c>
      <c r="F794" s="21" t="s">
        <v>118</v>
      </c>
      <c r="G794" s="21" t="s">
        <v>3062</v>
      </c>
      <c r="H794" s="21" t="s">
        <v>36</v>
      </c>
      <c r="I794" s="21" t="s">
        <v>3063</v>
      </c>
      <c r="K794" s="21">
        <v>1.19824092800064E14</v>
      </c>
      <c r="L794" s="21">
        <v>5.0</v>
      </c>
      <c r="M794" s="15"/>
      <c r="N794" s="15"/>
      <c r="O794" s="15"/>
    </row>
    <row r="795" ht="22.5" customHeight="1">
      <c r="A795" s="32" t="str">
        <f t="shared" si="1"/>
        <v>3/2026</v>
      </c>
      <c r="B795" s="25">
        <v>46105.347155069445</v>
      </c>
      <c r="C795" s="21" t="s">
        <v>51</v>
      </c>
      <c r="D795" s="21" t="s">
        <v>1470</v>
      </c>
      <c r="E795" s="26" t="s">
        <v>3064</v>
      </c>
      <c r="F795" s="21" t="s">
        <v>18</v>
      </c>
      <c r="G795" s="21" t="s">
        <v>135</v>
      </c>
      <c r="H795" s="21" t="s">
        <v>20</v>
      </c>
      <c r="I795" s="21" t="s">
        <v>3065</v>
      </c>
      <c r="K795" s="21">
        <v>1.8682508210007E14</v>
      </c>
      <c r="M795" s="15"/>
      <c r="N795" s="15"/>
      <c r="O795" s="15"/>
    </row>
    <row r="796" ht="22.5" customHeight="1">
      <c r="A796" s="32" t="str">
        <f t="shared" si="1"/>
        <v>3/2026</v>
      </c>
      <c r="B796" s="25">
        <v>46105.348650879634</v>
      </c>
      <c r="C796" s="21" t="s">
        <v>51</v>
      </c>
      <c r="D796" s="21" t="s">
        <v>1470</v>
      </c>
      <c r="E796" s="26" t="s">
        <v>3064</v>
      </c>
      <c r="F796" s="21" t="s">
        <v>18</v>
      </c>
      <c r="G796" s="21" t="s">
        <v>2643</v>
      </c>
      <c r="H796" s="21" t="s">
        <v>20</v>
      </c>
      <c r="I796" s="21" t="s">
        <v>3066</v>
      </c>
      <c r="K796" s="21">
        <v>1.96926010400255E14</v>
      </c>
      <c r="M796" s="15"/>
      <c r="N796" s="15"/>
      <c r="O796" s="15"/>
    </row>
    <row r="797" ht="22.5" customHeight="1">
      <c r="A797" s="32" t="str">
        <f t="shared" si="1"/>
        <v>3/2026</v>
      </c>
      <c r="B797" s="25">
        <v>46105.42997074074</v>
      </c>
      <c r="C797" s="21" t="s">
        <v>51</v>
      </c>
      <c r="D797" s="21" t="s">
        <v>480</v>
      </c>
      <c r="E797" s="26" t="s">
        <v>3067</v>
      </c>
      <c r="F797" s="21" t="s">
        <v>18</v>
      </c>
      <c r="G797" s="21" t="s">
        <v>19</v>
      </c>
      <c r="H797" s="21" t="s">
        <v>20</v>
      </c>
      <c r="I797" s="21" t="s">
        <v>3068</v>
      </c>
      <c r="K797" s="21">
        <v>1.85826020700144E14</v>
      </c>
      <c r="M797" s="15"/>
      <c r="N797" s="15"/>
      <c r="O797" s="15"/>
    </row>
    <row r="798" ht="22.5" customHeight="1">
      <c r="A798" s="32" t="str">
        <f t="shared" si="1"/>
        <v>3/2026</v>
      </c>
      <c r="B798" s="25">
        <v>46105.43135701389</v>
      </c>
      <c r="C798" s="21" t="s">
        <v>3008</v>
      </c>
      <c r="D798" s="21" t="s">
        <v>3069</v>
      </c>
      <c r="E798" s="26" t="s">
        <v>3070</v>
      </c>
      <c r="F798" s="21" t="s">
        <v>303</v>
      </c>
      <c r="G798" s="21" t="s">
        <v>1083</v>
      </c>
      <c r="H798" s="21" t="s">
        <v>36</v>
      </c>
      <c r="I798" s="21" t="s">
        <v>3071</v>
      </c>
      <c r="K798" s="21">
        <v>1.39824092700464E14</v>
      </c>
      <c r="M798" s="15"/>
      <c r="N798" s="15"/>
      <c r="O798" s="15"/>
    </row>
    <row r="799" ht="22.5" customHeight="1">
      <c r="A799" s="32" t="str">
        <f t="shared" si="1"/>
        <v>3/2026</v>
      </c>
      <c r="B799" s="25">
        <v>46105.52514416666</v>
      </c>
      <c r="C799" s="21" t="s">
        <v>77</v>
      </c>
      <c r="D799" s="21" t="s">
        <v>3072</v>
      </c>
      <c r="E799" s="26" t="s">
        <v>3073</v>
      </c>
      <c r="F799" s="21" t="s">
        <v>1528</v>
      </c>
      <c r="G799" s="21" t="s">
        <v>3074</v>
      </c>
      <c r="H799" s="21" t="s">
        <v>36</v>
      </c>
      <c r="I799" s="21" t="s">
        <v>3075</v>
      </c>
      <c r="J799" s="21" t="s">
        <v>3076</v>
      </c>
      <c r="K799" s="21">
        <v>1.39823091200496E14</v>
      </c>
      <c r="M799" s="15"/>
      <c r="N799" s="15"/>
      <c r="O799" s="15"/>
    </row>
    <row r="800" ht="22.5" customHeight="1">
      <c r="A800" s="32" t="str">
        <f t="shared" si="1"/>
        <v>3/2026</v>
      </c>
      <c r="B800" s="25">
        <v>46105.6731259838</v>
      </c>
      <c r="C800" s="21" t="s">
        <v>103</v>
      </c>
      <c r="D800" s="21" t="s">
        <v>3077</v>
      </c>
      <c r="E800" s="26" t="s">
        <v>3078</v>
      </c>
      <c r="F800" s="21" t="s">
        <v>106</v>
      </c>
      <c r="G800" s="21" t="s">
        <v>468</v>
      </c>
      <c r="H800" s="21" t="s">
        <v>36</v>
      </c>
      <c r="I800" s="21" t="s">
        <v>3079</v>
      </c>
      <c r="J800" s="21" t="s">
        <v>3080</v>
      </c>
      <c r="K800" s="21">
        <v>1.39822121600259E14</v>
      </c>
      <c r="M800" s="15"/>
      <c r="N800" s="15"/>
      <c r="O800" s="15"/>
    </row>
    <row r="801" ht="22.5" customHeight="1">
      <c r="A801" s="32" t="str">
        <f t="shared" si="1"/>
        <v>3/2026</v>
      </c>
      <c r="B801" s="25">
        <v>46105.74379995371</v>
      </c>
      <c r="C801" s="21" t="s">
        <v>320</v>
      </c>
      <c r="D801" s="21" t="s">
        <v>3081</v>
      </c>
      <c r="E801" s="26" t="s">
        <v>3082</v>
      </c>
      <c r="F801" s="21" t="s">
        <v>812</v>
      </c>
      <c r="G801" s="21">
        <v>5440.0</v>
      </c>
      <c r="H801" s="21" t="s">
        <v>1678</v>
      </c>
      <c r="I801" s="21" t="s">
        <v>3083</v>
      </c>
      <c r="J801" s="21" t="s">
        <v>3084</v>
      </c>
      <c r="K801" s="21">
        <v>1.19824092800248E14</v>
      </c>
      <c r="M801" s="15"/>
      <c r="N801" s="15"/>
      <c r="O801" s="15"/>
    </row>
    <row r="802" ht="22.5" customHeight="1">
      <c r="A802" s="32" t="str">
        <f t="shared" si="1"/>
        <v>3/2026</v>
      </c>
      <c r="B802" s="25">
        <v>46105.75305774306</v>
      </c>
      <c r="C802" s="21" t="s">
        <v>386</v>
      </c>
      <c r="D802" s="21" t="s">
        <v>3085</v>
      </c>
      <c r="E802" s="26" t="s">
        <v>3086</v>
      </c>
      <c r="F802" s="21" t="s">
        <v>18</v>
      </c>
      <c r="G802" s="21" t="s">
        <v>1262</v>
      </c>
      <c r="H802" s="21" t="s">
        <v>36</v>
      </c>
      <c r="I802" s="21" t="s">
        <v>3087</v>
      </c>
      <c r="J802" s="21" t="s">
        <v>3088</v>
      </c>
      <c r="K802" s="21">
        <v>1.3982409270038E14</v>
      </c>
      <c r="M802" s="15"/>
      <c r="N802" s="15"/>
      <c r="O802" s="15"/>
    </row>
    <row r="803" ht="22.5" customHeight="1">
      <c r="A803" s="32" t="str">
        <f t="shared" si="1"/>
        <v>3/2026</v>
      </c>
      <c r="B803" s="25">
        <v>46106.380626990736</v>
      </c>
      <c r="C803" s="21" t="s">
        <v>1181</v>
      </c>
      <c r="D803" s="21" t="s">
        <v>3089</v>
      </c>
      <c r="E803" s="21" t="s">
        <v>3090</v>
      </c>
      <c r="F803" s="21" t="s">
        <v>18</v>
      </c>
      <c r="G803" s="21" t="s">
        <v>1505</v>
      </c>
      <c r="H803" s="21" t="s">
        <v>36</v>
      </c>
      <c r="I803" s="21" t="s">
        <v>3091</v>
      </c>
      <c r="J803" s="21" t="s">
        <v>3092</v>
      </c>
      <c r="K803" s="21">
        <v>1.39823030200181E14</v>
      </c>
      <c r="L803" s="21">
        <v>25.0</v>
      </c>
      <c r="M803" s="15"/>
      <c r="N803" s="15"/>
      <c r="O803" s="15"/>
    </row>
    <row r="804" ht="22.5" customHeight="1">
      <c r="A804" s="32" t="str">
        <f t="shared" si="1"/>
        <v>3/2026</v>
      </c>
      <c r="B804" s="25">
        <v>46106.382202002314</v>
      </c>
      <c r="C804" s="21" t="s">
        <v>1181</v>
      </c>
      <c r="D804" s="21" t="s">
        <v>1807</v>
      </c>
      <c r="E804" s="26" t="s">
        <v>1341</v>
      </c>
      <c r="F804" s="21" t="s">
        <v>18</v>
      </c>
      <c r="G804" s="21" t="s">
        <v>536</v>
      </c>
      <c r="H804" s="21" t="s">
        <v>141</v>
      </c>
      <c r="I804" s="21" t="s">
        <v>3093</v>
      </c>
      <c r="J804" s="21" t="s">
        <v>3094</v>
      </c>
      <c r="K804" s="21" t="s">
        <v>55</v>
      </c>
      <c r="L804" s="21">
        <v>12.0</v>
      </c>
      <c r="M804" s="15"/>
      <c r="N804" s="15"/>
      <c r="O804" s="15"/>
    </row>
    <row r="805" ht="22.5" customHeight="1">
      <c r="A805" s="32" t="str">
        <f t="shared" si="1"/>
        <v>3/2026</v>
      </c>
      <c r="B805" s="25">
        <v>46106.488224155095</v>
      </c>
      <c r="C805" s="21" t="s">
        <v>320</v>
      </c>
      <c r="D805" s="21" t="s">
        <v>3095</v>
      </c>
      <c r="E805" s="26" t="s">
        <v>3096</v>
      </c>
      <c r="F805" s="21" t="s">
        <v>686</v>
      </c>
      <c r="G805" s="21" t="s">
        <v>714</v>
      </c>
      <c r="H805" s="21" t="s">
        <v>20</v>
      </c>
      <c r="I805" s="21" t="s">
        <v>3097</v>
      </c>
      <c r="K805" s="21">
        <v>1.848250821001E13</v>
      </c>
      <c r="L805" s="21">
        <v>34.0</v>
      </c>
      <c r="M805" s="15"/>
      <c r="N805" s="15"/>
      <c r="O805" s="15"/>
    </row>
    <row r="806" ht="22.5" customHeight="1">
      <c r="A806" s="32" t="str">
        <f t="shared" si="1"/>
        <v>3/2026</v>
      </c>
      <c r="B806" s="25">
        <v>46106.6295349537</v>
      </c>
      <c r="C806" s="21" t="s">
        <v>386</v>
      </c>
      <c r="D806" s="21" t="s">
        <v>3085</v>
      </c>
      <c r="E806" s="26" t="s">
        <v>3086</v>
      </c>
      <c r="F806" s="21" t="s">
        <v>18</v>
      </c>
      <c r="G806" s="21" t="s">
        <v>1262</v>
      </c>
      <c r="H806" s="21" t="s">
        <v>36</v>
      </c>
      <c r="I806" s="21" t="s">
        <v>3098</v>
      </c>
      <c r="J806" s="21" t="s">
        <v>3099</v>
      </c>
      <c r="K806" s="21">
        <v>1.3982409270038E14</v>
      </c>
      <c r="M806" s="15"/>
      <c r="N806" s="15"/>
      <c r="O806" s="15"/>
    </row>
    <row r="807" ht="22.5" customHeight="1">
      <c r="A807" s="32" t="str">
        <f t="shared" si="1"/>
        <v>3/2026</v>
      </c>
      <c r="B807" s="25">
        <v>46106.63263383102</v>
      </c>
      <c r="C807" s="21" t="s">
        <v>2045</v>
      </c>
      <c r="D807" s="21" t="s">
        <v>1470</v>
      </c>
      <c r="E807" s="26" t="s">
        <v>3100</v>
      </c>
      <c r="F807" s="21" t="s">
        <v>608</v>
      </c>
      <c r="G807" s="21" t="s">
        <v>3101</v>
      </c>
      <c r="H807" s="21" t="s">
        <v>36</v>
      </c>
      <c r="I807" s="21" t="s">
        <v>3102</v>
      </c>
      <c r="K807" s="21">
        <v>1.39823112300115E14</v>
      </c>
      <c r="L807" s="21">
        <v>5.0</v>
      </c>
      <c r="M807" s="15"/>
      <c r="N807" s="15"/>
      <c r="O807" s="15"/>
    </row>
    <row r="808" ht="22.5" customHeight="1">
      <c r="A808" s="32" t="str">
        <f t="shared" si="1"/>
        <v>3/2026</v>
      </c>
      <c r="B808" s="25">
        <v>46106.7125537963</v>
      </c>
      <c r="C808" s="21" t="s">
        <v>659</v>
      </c>
      <c r="D808" s="21" t="s">
        <v>3103</v>
      </c>
      <c r="E808" s="26" t="s">
        <v>2989</v>
      </c>
      <c r="F808" s="21" t="s">
        <v>290</v>
      </c>
      <c r="G808" s="21" t="s">
        <v>3104</v>
      </c>
      <c r="H808" s="21" t="s">
        <v>36</v>
      </c>
      <c r="I808" s="21" t="s">
        <v>3105</v>
      </c>
      <c r="J808" s="21" t="s">
        <v>3106</v>
      </c>
      <c r="K808" s="21">
        <v>1.19822061300184E14</v>
      </c>
      <c r="M808" s="15"/>
      <c r="N808" s="15"/>
      <c r="O808" s="15"/>
    </row>
    <row r="809" ht="22.5" customHeight="1">
      <c r="A809" s="32" t="str">
        <f t="shared" si="1"/>
        <v>3/2026</v>
      </c>
      <c r="B809" s="25">
        <v>46106.75493858797</v>
      </c>
      <c r="C809" s="21" t="s">
        <v>115</v>
      </c>
      <c r="D809" s="21" t="s">
        <v>3107</v>
      </c>
      <c r="E809" s="26" t="s">
        <v>3108</v>
      </c>
      <c r="F809" s="21" t="s">
        <v>2984</v>
      </c>
      <c r="G809" s="21" t="s">
        <v>178</v>
      </c>
      <c r="H809" s="21" t="s">
        <v>141</v>
      </c>
      <c r="I809" s="21" t="s">
        <v>3109</v>
      </c>
      <c r="J809" s="21" t="s">
        <v>3110</v>
      </c>
      <c r="K809" s="21" t="s">
        <v>122</v>
      </c>
      <c r="M809" s="15"/>
      <c r="N809" s="15"/>
      <c r="O809" s="15"/>
    </row>
    <row r="810" ht="22.5" customHeight="1">
      <c r="A810" s="32" t="str">
        <f t="shared" si="1"/>
        <v>3/2026</v>
      </c>
      <c r="B810" s="25">
        <v>46106.760190625</v>
      </c>
      <c r="C810" s="21" t="s">
        <v>115</v>
      </c>
      <c r="D810" s="21" t="s">
        <v>3111</v>
      </c>
      <c r="E810" s="21" t="s">
        <v>1270</v>
      </c>
      <c r="F810" s="21" t="s">
        <v>118</v>
      </c>
      <c r="G810" s="21" t="s">
        <v>59</v>
      </c>
      <c r="H810" s="21" t="s">
        <v>141</v>
      </c>
      <c r="I810" s="29" t="s">
        <v>3112</v>
      </c>
      <c r="J810" s="21" t="s">
        <v>3113</v>
      </c>
      <c r="K810" s="21" t="s">
        <v>122</v>
      </c>
      <c r="M810" s="15"/>
      <c r="N810" s="15"/>
      <c r="O810" s="15"/>
    </row>
    <row r="811" ht="22.5" customHeight="1">
      <c r="A811" s="32" t="str">
        <f t="shared" si="1"/>
        <v>3/2026</v>
      </c>
      <c r="B811" s="25">
        <v>46106.76335177083</v>
      </c>
      <c r="C811" s="21" t="s">
        <v>115</v>
      </c>
      <c r="D811" s="21" t="s">
        <v>924</v>
      </c>
      <c r="E811" s="26" t="s">
        <v>3114</v>
      </c>
      <c r="F811" s="21" t="s">
        <v>118</v>
      </c>
      <c r="G811" s="21" t="s">
        <v>1291</v>
      </c>
      <c r="H811" s="21" t="s">
        <v>36</v>
      </c>
      <c r="I811" s="21" t="s">
        <v>3115</v>
      </c>
      <c r="J811" s="21" t="s">
        <v>965</v>
      </c>
      <c r="K811" s="21" t="s">
        <v>122</v>
      </c>
      <c r="M811" s="15"/>
      <c r="N811" s="15"/>
      <c r="O811" s="15"/>
    </row>
    <row r="812" ht="22.5" customHeight="1">
      <c r="A812" s="32" t="str">
        <f t="shared" si="1"/>
        <v>3/2026</v>
      </c>
      <c r="B812" s="25">
        <v>46106.76421469907</v>
      </c>
      <c r="C812" s="21" t="s">
        <v>115</v>
      </c>
      <c r="D812" s="21" t="s">
        <v>3116</v>
      </c>
      <c r="E812" s="26" t="s">
        <v>3117</v>
      </c>
      <c r="F812" s="21" t="s">
        <v>118</v>
      </c>
      <c r="G812" s="21" t="s">
        <v>1754</v>
      </c>
      <c r="H812" s="21" t="s">
        <v>141</v>
      </c>
      <c r="I812" s="21" t="s">
        <v>3118</v>
      </c>
      <c r="J812" s="21" t="s">
        <v>965</v>
      </c>
      <c r="K812" s="21" t="s">
        <v>122</v>
      </c>
      <c r="M812" s="15"/>
      <c r="N812" s="15"/>
      <c r="O812" s="15"/>
    </row>
    <row r="813" ht="22.5" customHeight="1">
      <c r="A813" s="32" t="str">
        <f t="shared" si="1"/>
        <v>3/2026</v>
      </c>
      <c r="B813" s="25">
        <v>46106.819148055554</v>
      </c>
      <c r="C813" s="21" t="s">
        <v>1454</v>
      </c>
      <c r="D813" s="21" t="s">
        <v>1561</v>
      </c>
      <c r="E813" s="26" t="s">
        <v>1562</v>
      </c>
      <c r="F813" s="21" t="s">
        <v>1457</v>
      </c>
      <c r="G813" s="21" t="s">
        <v>217</v>
      </c>
      <c r="H813" s="21" t="s">
        <v>2569</v>
      </c>
      <c r="I813" s="21" t="s">
        <v>3119</v>
      </c>
      <c r="J813" s="21" t="s">
        <v>3120</v>
      </c>
      <c r="K813" s="21">
        <v>1.8582508220006E14</v>
      </c>
      <c r="L813" s="21">
        <v>60.0</v>
      </c>
      <c r="M813" s="15"/>
      <c r="N813" s="15"/>
      <c r="O813" s="15"/>
    </row>
    <row r="814" ht="22.5" customHeight="1">
      <c r="A814" s="32" t="str">
        <f t="shared" si="1"/>
        <v>3/2026</v>
      </c>
      <c r="B814" s="25">
        <v>46106.922745625</v>
      </c>
      <c r="C814" s="21" t="s">
        <v>1181</v>
      </c>
      <c r="D814" s="21" t="s">
        <v>3121</v>
      </c>
      <c r="E814" s="26" t="s">
        <v>3122</v>
      </c>
      <c r="F814" s="21" t="s">
        <v>18</v>
      </c>
      <c r="G814" s="21" t="s">
        <v>1728</v>
      </c>
      <c r="H814" s="21" t="s">
        <v>141</v>
      </c>
      <c r="I814" s="29" t="s">
        <v>3123</v>
      </c>
      <c r="J814" s="21" t="s">
        <v>3124</v>
      </c>
      <c r="K814" s="21" t="s">
        <v>55</v>
      </c>
      <c r="L814" s="21">
        <v>12.0</v>
      </c>
      <c r="M814" s="15"/>
      <c r="N814" s="15"/>
      <c r="O814" s="15"/>
    </row>
    <row r="815" ht="22.5" customHeight="1">
      <c r="A815" s="32" t="str">
        <f t="shared" si="1"/>
        <v>3/2026</v>
      </c>
      <c r="B815" s="25">
        <v>46106.92417565972</v>
      </c>
      <c r="C815" s="21" t="s">
        <v>1181</v>
      </c>
      <c r="D815" s="21" t="s">
        <v>3125</v>
      </c>
      <c r="E815" s="21" t="s">
        <v>3126</v>
      </c>
      <c r="F815" s="21" t="s">
        <v>18</v>
      </c>
      <c r="G815" s="21" t="s">
        <v>2067</v>
      </c>
      <c r="H815" s="21" t="s">
        <v>141</v>
      </c>
      <c r="I815" s="21" t="s">
        <v>3127</v>
      </c>
      <c r="J815" s="21" t="s">
        <v>417</v>
      </c>
      <c r="K815" s="21" t="s">
        <v>55</v>
      </c>
      <c r="L815" s="21">
        <v>8.0</v>
      </c>
      <c r="M815" s="15"/>
      <c r="N815" s="15"/>
      <c r="O815" s="15"/>
    </row>
    <row r="816" ht="22.5" customHeight="1">
      <c r="A816" s="32" t="str">
        <f t="shared" si="1"/>
        <v>3/2026</v>
      </c>
      <c r="B816" s="25">
        <v>46107.458436099536</v>
      </c>
      <c r="C816" s="21" t="s">
        <v>386</v>
      </c>
      <c r="D816" s="21" t="s">
        <v>3128</v>
      </c>
      <c r="E816" s="26" t="s">
        <v>3129</v>
      </c>
      <c r="F816" s="21" t="s">
        <v>18</v>
      </c>
      <c r="G816" s="21" t="s">
        <v>3130</v>
      </c>
      <c r="H816" s="21" t="s">
        <v>36</v>
      </c>
      <c r="I816" s="21" t="s">
        <v>3131</v>
      </c>
      <c r="J816" s="21" t="s">
        <v>3132</v>
      </c>
      <c r="K816" s="21">
        <v>1.19822061300108E14</v>
      </c>
      <c r="M816" s="15"/>
      <c r="N816" s="15"/>
      <c r="O816" s="15"/>
    </row>
    <row r="817" ht="22.5" customHeight="1">
      <c r="A817" s="32" t="str">
        <f t="shared" si="1"/>
        <v>3/2026</v>
      </c>
      <c r="B817" s="25">
        <v>46107.46468685185</v>
      </c>
      <c r="C817" s="21" t="s">
        <v>1989</v>
      </c>
      <c r="D817" s="21" t="s">
        <v>3133</v>
      </c>
      <c r="E817" s="26" t="s">
        <v>3134</v>
      </c>
      <c r="F817" s="21" t="s">
        <v>249</v>
      </c>
      <c r="G817" s="21" t="s">
        <v>1603</v>
      </c>
      <c r="H817" s="21" t="s">
        <v>44</v>
      </c>
      <c r="I817" s="21" t="s">
        <v>3135</v>
      </c>
      <c r="J817" s="21" t="s">
        <v>3136</v>
      </c>
      <c r="K817" s="21">
        <v>1.85825082200102E14</v>
      </c>
      <c r="M817" s="15"/>
      <c r="N817" s="15"/>
      <c r="O817" s="15"/>
    </row>
    <row r="818" ht="22.5" customHeight="1">
      <c r="A818" s="32" t="str">
        <f t="shared" si="1"/>
        <v>3/2026</v>
      </c>
      <c r="B818" s="25">
        <v>46107.5643884375</v>
      </c>
      <c r="C818" s="21" t="s">
        <v>214</v>
      </c>
      <c r="D818" s="21" t="s">
        <v>3137</v>
      </c>
      <c r="E818" s="26" t="s">
        <v>3138</v>
      </c>
      <c r="F818" s="21" t="s">
        <v>18</v>
      </c>
      <c r="G818" s="21" t="s">
        <v>2533</v>
      </c>
      <c r="H818" s="21" t="s">
        <v>36</v>
      </c>
      <c r="I818" s="21" t="s">
        <v>3139</v>
      </c>
      <c r="J818" s="21" t="s">
        <v>3140</v>
      </c>
      <c r="K818" s="21">
        <v>1.1982302130023E14</v>
      </c>
      <c r="M818" s="15"/>
      <c r="N818" s="15"/>
      <c r="O818" s="15"/>
    </row>
    <row r="819" ht="22.5" customHeight="1">
      <c r="A819" s="32" t="str">
        <f t="shared" si="1"/>
        <v>3/2026</v>
      </c>
      <c r="B819" s="25">
        <v>46107.668465243056</v>
      </c>
      <c r="C819" s="21" t="s">
        <v>239</v>
      </c>
      <c r="D819" s="21" t="s">
        <v>3141</v>
      </c>
      <c r="E819" s="26" t="s">
        <v>3142</v>
      </c>
      <c r="F819" s="21" t="s">
        <v>242</v>
      </c>
      <c r="G819" s="21" t="s">
        <v>615</v>
      </c>
      <c r="H819" s="21" t="s">
        <v>20</v>
      </c>
      <c r="I819" s="21" t="s">
        <v>3143</v>
      </c>
      <c r="J819" s="21" t="s">
        <v>3144</v>
      </c>
      <c r="K819" s="21">
        <v>1.85826020700065E14</v>
      </c>
      <c r="L819" s="21">
        <v>25.0</v>
      </c>
      <c r="M819" s="15"/>
      <c r="N819" s="15"/>
      <c r="O819" s="15"/>
    </row>
    <row r="820" ht="22.5" customHeight="1">
      <c r="A820" s="32" t="str">
        <f t="shared" si="1"/>
        <v>3/2026</v>
      </c>
      <c r="B820" s="25">
        <v>46107.73301216435</v>
      </c>
      <c r="C820" s="21" t="s">
        <v>32</v>
      </c>
      <c r="D820" s="21" t="s">
        <v>3145</v>
      </c>
      <c r="E820" s="26" t="s">
        <v>3146</v>
      </c>
      <c r="F820" s="21" t="s">
        <v>18</v>
      </c>
      <c r="G820" s="21" t="s">
        <v>2368</v>
      </c>
      <c r="H820" s="21" t="s">
        <v>36</v>
      </c>
      <c r="I820" s="21" t="s">
        <v>3147</v>
      </c>
      <c r="K820" s="21">
        <v>1.39824092700328E14</v>
      </c>
      <c r="M820" s="15"/>
      <c r="N820" s="15"/>
      <c r="O820" s="15"/>
    </row>
    <row r="821" ht="22.5" customHeight="1">
      <c r="A821" s="32" t="str">
        <f t="shared" si="1"/>
        <v>3/2026</v>
      </c>
      <c r="B821" s="25">
        <v>46107.77098905093</v>
      </c>
      <c r="C821" s="21" t="s">
        <v>115</v>
      </c>
      <c r="D821" s="21" t="s">
        <v>3148</v>
      </c>
      <c r="E821" s="26" t="s">
        <v>3149</v>
      </c>
      <c r="F821" s="21" t="s">
        <v>118</v>
      </c>
      <c r="G821" s="21" t="s">
        <v>1124</v>
      </c>
      <c r="H821" s="21" t="s">
        <v>36</v>
      </c>
      <c r="I821" s="21" t="s">
        <v>3150</v>
      </c>
      <c r="J821" s="21" t="s">
        <v>965</v>
      </c>
      <c r="K821" s="21" t="s">
        <v>122</v>
      </c>
      <c r="L821" s="21">
        <v>19.0</v>
      </c>
      <c r="M821" s="15"/>
      <c r="N821" s="15"/>
      <c r="O821" s="15"/>
    </row>
    <row r="822" ht="22.5" customHeight="1">
      <c r="A822" s="32" t="str">
        <f t="shared" si="1"/>
        <v>3/2026</v>
      </c>
      <c r="B822" s="25">
        <v>46107.87250193287</v>
      </c>
      <c r="C822" s="21" t="s">
        <v>1181</v>
      </c>
      <c r="D822" s="21" t="s">
        <v>3151</v>
      </c>
      <c r="E822" s="26" t="s">
        <v>3152</v>
      </c>
      <c r="F822" s="21" t="s">
        <v>18</v>
      </c>
      <c r="G822" s="21" t="s">
        <v>3153</v>
      </c>
      <c r="H822" s="21" t="s">
        <v>36</v>
      </c>
      <c r="I822" s="21" t="s">
        <v>3154</v>
      </c>
      <c r="J822" s="21" t="s">
        <v>417</v>
      </c>
      <c r="K822" s="21">
        <v>1.19824092800047E14</v>
      </c>
      <c r="L822" s="21">
        <v>2.0</v>
      </c>
      <c r="M822" s="15"/>
      <c r="N822" s="15"/>
      <c r="O822" s="15"/>
    </row>
    <row r="823" ht="22.5" customHeight="1">
      <c r="A823" s="32" t="str">
        <f t="shared" si="1"/>
        <v>3/2026</v>
      </c>
      <c r="B823" s="25">
        <v>46107.876991550926</v>
      </c>
      <c r="C823" s="21" t="s">
        <v>1181</v>
      </c>
      <c r="D823" s="21" t="s">
        <v>3155</v>
      </c>
      <c r="E823" s="26" t="s">
        <v>3156</v>
      </c>
      <c r="F823" s="21" t="s">
        <v>18</v>
      </c>
      <c r="G823" s="21" t="s">
        <v>1728</v>
      </c>
      <c r="H823" s="21" t="s">
        <v>141</v>
      </c>
      <c r="I823" s="21" t="s">
        <v>3157</v>
      </c>
      <c r="J823" s="21" t="s">
        <v>3158</v>
      </c>
      <c r="K823" s="21" t="s">
        <v>55</v>
      </c>
      <c r="L823" s="21">
        <v>12.0</v>
      </c>
      <c r="M823" s="15"/>
      <c r="N823" s="15"/>
      <c r="O823" s="15"/>
    </row>
    <row r="824" ht="22.5" customHeight="1">
      <c r="A824" s="32" t="str">
        <f t="shared" si="1"/>
        <v>3/2026</v>
      </c>
      <c r="B824" s="25">
        <v>46107.87942873842</v>
      </c>
      <c r="C824" s="21" t="s">
        <v>1181</v>
      </c>
      <c r="D824" s="21" t="s">
        <v>3159</v>
      </c>
      <c r="E824" s="26" t="s">
        <v>3160</v>
      </c>
      <c r="F824" s="21" t="s">
        <v>18</v>
      </c>
      <c r="G824" s="21" t="s">
        <v>2161</v>
      </c>
      <c r="H824" s="21" t="s">
        <v>36</v>
      </c>
      <c r="I824" s="21" t="s">
        <v>3161</v>
      </c>
      <c r="J824" s="21" t="s">
        <v>3043</v>
      </c>
      <c r="K824" s="21" t="s">
        <v>55</v>
      </c>
      <c r="L824" s="21">
        <v>29.0</v>
      </c>
      <c r="M824" s="15"/>
      <c r="N824" s="15"/>
      <c r="O824" s="15"/>
    </row>
    <row r="825" ht="22.5" customHeight="1">
      <c r="A825" s="32" t="str">
        <f t="shared" si="1"/>
        <v>3/2026</v>
      </c>
      <c r="B825" s="25">
        <v>46107.881511053245</v>
      </c>
      <c r="C825" s="21" t="s">
        <v>1181</v>
      </c>
      <c r="D825" s="21" t="s">
        <v>3162</v>
      </c>
      <c r="E825" s="26" t="s">
        <v>3163</v>
      </c>
      <c r="F825" s="21" t="s">
        <v>18</v>
      </c>
      <c r="G825" s="21" t="s">
        <v>2161</v>
      </c>
      <c r="H825" s="21" t="s">
        <v>36</v>
      </c>
      <c r="I825" s="21" t="s">
        <v>3164</v>
      </c>
      <c r="J825" s="21" t="s">
        <v>3043</v>
      </c>
      <c r="K825" s="21">
        <v>1.39824092700573E14</v>
      </c>
      <c r="L825" s="21">
        <v>21.0</v>
      </c>
      <c r="M825" s="15"/>
      <c r="N825" s="15"/>
      <c r="O825" s="15"/>
    </row>
    <row r="826" ht="22.5" customHeight="1">
      <c r="A826" s="32" t="str">
        <f t="shared" si="1"/>
        <v>3/2026</v>
      </c>
      <c r="B826" s="25">
        <v>46108.45137246528</v>
      </c>
      <c r="C826" s="21" t="s">
        <v>320</v>
      </c>
      <c r="D826" s="21" t="s">
        <v>3165</v>
      </c>
      <c r="E826" s="26" t="s">
        <v>3166</v>
      </c>
      <c r="F826" s="21" t="s">
        <v>686</v>
      </c>
      <c r="G826" s="21" t="s">
        <v>734</v>
      </c>
      <c r="H826" s="21" t="s">
        <v>44</v>
      </c>
      <c r="I826" s="21" t="s">
        <v>3167</v>
      </c>
      <c r="K826" s="21">
        <v>1.85826020700154E14</v>
      </c>
      <c r="L826" s="21">
        <v>40.0</v>
      </c>
      <c r="M826" s="15"/>
      <c r="N826" s="15"/>
      <c r="O826" s="15"/>
    </row>
    <row r="827" ht="22.5" customHeight="1">
      <c r="A827" s="32" t="str">
        <f t="shared" si="1"/>
        <v>3/2026</v>
      </c>
      <c r="B827" s="25">
        <v>46108.47400607639</v>
      </c>
      <c r="C827" s="21" t="s">
        <v>71</v>
      </c>
      <c r="D827" s="21" t="s">
        <v>3168</v>
      </c>
      <c r="E827" s="26" t="s">
        <v>2983</v>
      </c>
      <c r="F827" s="21" t="s">
        <v>2984</v>
      </c>
      <c r="G827" s="21" t="s">
        <v>3169</v>
      </c>
      <c r="H827" s="21" t="s">
        <v>44</v>
      </c>
      <c r="I827" s="21" t="s">
        <v>3170</v>
      </c>
      <c r="J827" s="21" t="s">
        <v>3171</v>
      </c>
      <c r="K827" s="21">
        <v>1.83825082100055E14</v>
      </c>
      <c r="L827" s="21">
        <v>110.0</v>
      </c>
      <c r="M827" s="15"/>
      <c r="N827" s="15"/>
      <c r="O827" s="15"/>
    </row>
    <row r="828" ht="22.5" customHeight="1">
      <c r="A828" s="32" t="str">
        <f t="shared" si="1"/>
        <v>3/2026</v>
      </c>
      <c r="B828" s="25">
        <v>46108.47724638889</v>
      </c>
      <c r="C828" s="21" t="s">
        <v>71</v>
      </c>
      <c r="D828" s="21" t="s">
        <v>3168</v>
      </c>
      <c r="E828" s="26" t="s">
        <v>2983</v>
      </c>
      <c r="F828" s="21" t="s">
        <v>2984</v>
      </c>
      <c r="G828" s="21" t="s">
        <v>3172</v>
      </c>
      <c r="H828" s="21" t="s">
        <v>44</v>
      </c>
      <c r="I828" s="21" t="s">
        <v>3173</v>
      </c>
      <c r="J828" s="21" t="s">
        <v>3174</v>
      </c>
      <c r="K828" s="21">
        <v>1.85826020700105E14</v>
      </c>
      <c r="L828" s="21">
        <v>110.0</v>
      </c>
      <c r="M828" s="15"/>
      <c r="N828" s="15"/>
      <c r="O828" s="15"/>
    </row>
    <row r="829" ht="22.5" customHeight="1">
      <c r="A829" s="32" t="str">
        <f t="shared" si="1"/>
        <v>3/2026</v>
      </c>
      <c r="B829" s="25">
        <v>46108.695742118056</v>
      </c>
      <c r="C829" s="21" t="s">
        <v>1181</v>
      </c>
      <c r="D829" s="21" t="s">
        <v>3175</v>
      </c>
      <c r="E829" s="21">
        <v>2.603253333E10</v>
      </c>
      <c r="F829" s="21" t="s">
        <v>18</v>
      </c>
      <c r="G829" s="21" t="s">
        <v>3176</v>
      </c>
      <c r="H829" s="21" t="s">
        <v>141</v>
      </c>
      <c r="I829" s="29" t="s">
        <v>3177</v>
      </c>
      <c r="J829" s="21" t="s">
        <v>3175</v>
      </c>
      <c r="K829" s="21" t="s">
        <v>55</v>
      </c>
      <c r="L829" s="21">
        <v>10.0</v>
      </c>
      <c r="M829" s="15"/>
      <c r="N829" s="15"/>
      <c r="O829" s="15"/>
    </row>
    <row r="830" ht="22.5" customHeight="1">
      <c r="A830" s="32" t="str">
        <f t="shared" si="1"/>
        <v>3/2026</v>
      </c>
      <c r="B830" s="25">
        <v>46108.69971560185</v>
      </c>
      <c r="C830" s="21" t="s">
        <v>1181</v>
      </c>
      <c r="D830" s="21" t="s">
        <v>3178</v>
      </c>
      <c r="E830" s="26" t="s">
        <v>3179</v>
      </c>
      <c r="F830" s="21" t="s">
        <v>18</v>
      </c>
      <c r="G830" s="21" t="s">
        <v>3180</v>
      </c>
      <c r="H830" s="21" t="s">
        <v>36</v>
      </c>
      <c r="I830" s="21" t="s">
        <v>3181</v>
      </c>
      <c r="J830" s="21" t="s">
        <v>623</v>
      </c>
      <c r="K830" s="21">
        <v>8.92821042900152E14</v>
      </c>
      <c r="L830" s="21">
        <v>9.0</v>
      </c>
      <c r="M830" s="15"/>
      <c r="N830" s="15"/>
      <c r="O830" s="15"/>
    </row>
    <row r="831" ht="22.5" customHeight="1">
      <c r="A831" s="32" t="str">
        <f t="shared" si="1"/>
        <v>3/2026</v>
      </c>
      <c r="B831" s="25">
        <v>46109.44941671296</v>
      </c>
      <c r="C831" s="21" t="s">
        <v>308</v>
      </c>
      <c r="D831" s="21" t="s">
        <v>3182</v>
      </c>
      <c r="E831" s="26" t="s">
        <v>3183</v>
      </c>
      <c r="F831" s="21" t="s">
        <v>106</v>
      </c>
      <c r="G831" s="21" t="s">
        <v>774</v>
      </c>
      <c r="H831" s="21" t="s">
        <v>36</v>
      </c>
      <c r="I831" s="21" t="s">
        <v>3184</v>
      </c>
      <c r="J831" s="21" t="s">
        <v>3185</v>
      </c>
      <c r="K831" s="21">
        <v>1.39824102800199E14</v>
      </c>
      <c r="M831" s="15"/>
      <c r="N831" s="15"/>
      <c r="O831" s="15"/>
    </row>
    <row r="832" ht="22.5" customHeight="1">
      <c r="A832" s="32" t="str">
        <f t="shared" si="1"/>
        <v>3/2026</v>
      </c>
      <c r="B832" s="25">
        <v>46109.546302372684</v>
      </c>
      <c r="C832" s="21" t="s">
        <v>3186</v>
      </c>
      <c r="D832" s="21" t="s">
        <v>3187</v>
      </c>
      <c r="E832" s="26" t="s">
        <v>3188</v>
      </c>
      <c r="F832" s="21" t="s">
        <v>18</v>
      </c>
      <c r="G832" s="21" t="s">
        <v>259</v>
      </c>
      <c r="H832" s="21" t="s">
        <v>36</v>
      </c>
      <c r="I832" s="21" t="s">
        <v>3189</v>
      </c>
      <c r="J832" s="21" t="s">
        <v>3190</v>
      </c>
      <c r="K832" s="21">
        <v>1.39823091200255E14</v>
      </c>
      <c r="M832" s="15"/>
      <c r="N832" s="15"/>
      <c r="O832" s="15"/>
    </row>
    <row r="833" ht="22.5" customHeight="1">
      <c r="A833" s="32" t="str">
        <f t="shared" si="1"/>
        <v>3/2026</v>
      </c>
      <c r="B833" s="25">
        <v>46109.54824503472</v>
      </c>
      <c r="C833" s="21" t="s">
        <v>3186</v>
      </c>
      <c r="D833" s="21" t="s">
        <v>3191</v>
      </c>
      <c r="E833" s="26" t="s">
        <v>3192</v>
      </c>
      <c r="F833" s="21" t="s">
        <v>18</v>
      </c>
      <c r="G833" s="21" t="s">
        <v>222</v>
      </c>
      <c r="H833" s="21" t="s">
        <v>36</v>
      </c>
      <c r="I833" s="21" t="s">
        <v>3193</v>
      </c>
      <c r="J833" s="21" t="s">
        <v>366</v>
      </c>
      <c r="K833" s="21">
        <v>1.39822121600264E14</v>
      </c>
      <c r="M833" s="15"/>
      <c r="N833" s="15"/>
      <c r="O833" s="15"/>
    </row>
    <row r="834" ht="22.5" customHeight="1">
      <c r="A834" s="32" t="str">
        <f t="shared" si="1"/>
        <v>3/2026</v>
      </c>
      <c r="B834" s="25">
        <v>46109.68301649306</v>
      </c>
      <c r="C834" s="21" t="s">
        <v>3008</v>
      </c>
      <c r="D834" s="21" t="s">
        <v>3194</v>
      </c>
      <c r="E834" s="26" t="s">
        <v>3195</v>
      </c>
      <c r="F834" s="21" t="s">
        <v>303</v>
      </c>
      <c r="G834" s="21" t="s">
        <v>730</v>
      </c>
      <c r="H834" s="21" t="s">
        <v>44</v>
      </c>
      <c r="I834" s="21" t="s">
        <v>3196</v>
      </c>
      <c r="K834" s="21">
        <v>1.84825082100222E14</v>
      </c>
      <c r="M834" s="15"/>
      <c r="N834" s="15"/>
      <c r="O834" s="15"/>
    </row>
    <row r="835" ht="22.5" customHeight="1">
      <c r="A835" s="32" t="str">
        <f t="shared" si="1"/>
        <v>3/2026</v>
      </c>
      <c r="B835" s="25">
        <v>46109.7469806713</v>
      </c>
      <c r="C835" s="21" t="s">
        <v>1181</v>
      </c>
      <c r="D835" s="21" t="s">
        <v>3197</v>
      </c>
      <c r="E835" s="26" t="s">
        <v>3198</v>
      </c>
      <c r="F835" s="21" t="s">
        <v>18</v>
      </c>
      <c r="G835" s="21" t="s">
        <v>2161</v>
      </c>
      <c r="H835" s="21" t="s">
        <v>36</v>
      </c>
      <c r="I835" s="21" t="s">
        <v>3199</v>
      </c>
      <c r="J835" s="21" t="s">
        <v>3200</v>
      </c>
      <c r="K835" s="21">
        <v>1.39824102800301E14</v>
      </c>
      <c r="L835" s="21">
        <v>25.0</v>
      </c>
      <c r="M835" s="15"/>
      <c r="N835" s="15"/>
      <c r="O835" s="15"/>
    </row>
    <row r="836" ht="22.5" customHeight="1">
      <c r="A836" s="32" t="str">
        <f t="shared" si="1"/>
        <v>3/2026</v>
      </c>
      <c r="B836" s="25">
        <v>46109.90996634259</v>
      </c>
      <c r="C836" s="21" t="s">
        <v>39</v>
      </c>
      <c r="D836" s="21" t="s">
        <v>3201</v>
      </c>
      <c r="E836" s="26" t="s">
        <v>3202</v>
      </c>
      <c r="F836" s="21" t="s">
        <v>42</v>
      </c>
      <c r="G836" s="21" t="s">
        <v>3203</v>
      </c>
      <c r="H836" s="21" t="s">
        <v>44</v>
      </c>
      <c r="I836" s="21" t="s">
        <v>3204</v>
      </c>
      <c r="K836" s="21">
        <v>1.85826020700141E14</v>
      </c>
      <c r="M836" s="15"/>
      <c r="N836" s="15"/>
      <c r="O836" s="15"/>
    </row>
    <row r="837" ht="22.5" customHeight="1">
      <c r="A837" s="32" t="str">
        <f t="shared" si="1"/>
        <v>3/2026</v>
      </c>
      <c r="B837" s="25">
        <v>46110.39757690972</v>
      </c>
      <c r="C837" s="21" t="s">
        <v>1411</v>
      </c>
      <c r="D837" s="21" t="s">
        <v>3205</v>
      </c>
      <c r="E837" s="26" t="s">
        <v>3206</v>
      </c>
      <c r="F837" s="21" t="s">
        <v>1414</v>
      </c>
      <c r="G837" s="21" t="s">
        <v>161</v>
      </c>
      <c r="H837" s="21" t="s">
        <v>20</v>
      </c>
      <c r="I837" s="21" t="s">
        <v>3207</v>
      </c>
      <c r="K837" s="21">
        <v>1.84825082100093E14</v>
      </c>
      <c r="L837" s="21">
        <v>19.0</v>
      </c>
      <c r="M837" s="15"/>
      <c r="N837" s="15"/>
      <c r="O837" s="15"/>
    </row>
    <row r="838" ht="22.5" customHeight="1">
      <c r="A838" s="32" t="str">
        <f t="shared" si="1"/>
        <v>3/2026</v>
      </c>
      <c r="B838" s="25">
        <v>46110.426595428245</v>
      </c>
      <c r="C838" s="21" t="s">
        <v>115</v>
      </c>
      <c r="D838" s="21" t="s">
        <v>3208</v>
      </c>
      <c r="E838" s="26" t="s">
        <v>3209</v>
      </c>
      <c r="F838" s="21" t="s">
        <v>3210</v>
      </c>
      <c r="G838" s="21" t="s">
        <v>1425</v>
      </c>
      <c r="H838" s="21" t="s">
        <v>141</v>
      </c>
      <c r="I838" s="21" t="s">
        <v>3211</v>
      </c>
      <c r="J838" s="21" t="s">
        <v>3212</v>
      </c>
      <c r="K838" s="21" t="s">
        <v>122</v>
      </c>
      <c r="M838" s="15"/>
      <c r="N838" s="15"/>
      <c r="O838" s="15"/>
    </row>
    <row r="839" ht="22.5" customHeight="1">
      <c r="A839" s="32" t="str">
        <f t="shared" si="1"/>
        <v>3/2026</v>
      </c>
      <c r="B839" s="25">
        <v>46110.76863630787</v>
      </c>
      <c r="C839" s="21" t="s">
        <v>115</v>
      </c>
      <c r="D839" s="21" t="s">
        <v>3213</v>
      </c>
      <c r="E839" s="26" t="s">
        <v>3214</v>
      </c>
      <c r="F839" s="21" t="s">
        <v>118</v>
      </c>
      <c r="G839" s="21" t="s">
        <v>1124</v>
      </c>
      <c r="H839" s="21" t="s">
        <v>36</v>
      </c>
      <c r="I839" s="21" t="s">
        <v>3215</v>
      </c>
      <c r="J839" s="21" t="s">
        <v>965</v>
      </c>
      <c r="K839" s="21" t="s">
        <v>122</v>
      </c>
      <c r="M839" s="15"/>
      <c r="N839" s="15"/>
      <c r="O839" s="15"/>
    </row>
    <row r="840" ht="22.5" customHeight="1">
      <c r="A840" s="32" t="str">
        <f t="shared" si="1"/>
        <v>3/2026</v>
      </c>
      <c r="B840" s="25">
        <v>46110.76944246527</v>
      </c>
      <c r="C840" s="21" t="s">
        <v>115</v>
      </c>
      <c r="D840" s="21" t="s">
        <v>3216</v>
      </c>
      <c r="E840" s="26" t="s">
        <v>3217</v>
      </c>
      <c r="F840" s="21" t="s">
        <v>118</v>
      </c>
      <c r="G840" s="21" t="s">
        <v>178</v>
      </c>
      <c r="H840" s="21" t="s">
        <v>36</v>
      </c>
      <c r="I840" s="21" t="s">
        <v>3218</v>
      </c>
      <c r="J840" s="21" t="s">
        <v>965</v>
      </c>
      <c r="K840" s="21" t="s">
        <v>122</v>
      </c>
      <c r="M840" s="15"/>
      <c r="N840" s="15"/>
      <c r="O840" s="15"/>
    </row>
    <row r="841" ht="22.5" customHeight="1">
      <c r="A841" s="32" t="str">
        <f t="shared" si="1"/>
        <v>3/2026</v>
      </c>
      <c r="B841" s="25">
        <v>46110.77076947917</v>
      </c>
      <c r="C841" s="21" t="s">
        <v>115</v>
      </c>
      <c r="D841" s="21" t="s">
        <v>3219</v>
      </c>
      <c r="E841" s="26" t="s">
        <v>3220</v>
      </c>
      <c r="F841" s="21" t="s">
        <v>118</v>
      </c>
      <c r="G841" s="21" t="s">
        <v>1363</v>
      </c>
      <c r="H841" s="21" t="s">
        <v>36</v>
      </c>
      <c r="I841" s="21" t="s">
        <v>3221</v>
      </c>
      <c r="J841" s="21" t="s">
        <v>965</v>
      </c>
      <c r="K841" s="21" t="s">
        <v>122</v>
      </c>
      <c r="M841" s="15"/>
      <c r="N841" s="15"/>
      <c r="O841" s="15"/>
    </row>
    <row r="842" ht="22.5" customHeight="1">
      <c r="A842" s="32" t="str">
        <f t="shared" si="1"/>
        <v>3/2026</v>
      </c>
      <c r="B842" s="25">
        <v>46111.48062804398</v>
      </c>
      <c r="C842" s="21" t="s">
        <v>3222</v>
      </c>
      <c r="D842" s="21" t="s">
        <v>3223</v>
      </c>
      <c r="E842" s="26" t="s">
        <v>3224</v>
      </c>
      <c r="F842" s="21" t="s">
        <v>1887</v>
      </c>
      <c r="G842" s="21" t="s">
        <v>1603</v>
      </c>
      <c r="H842" s="21" t="s">
        <v>20</v>
      </c>
      <c r="I842" s="21" t="s">
        <v>3225</v>
      </c>
      <c r="J842" s="21" t="s">
        <v>3226</v>
      </c>
      <c r="K842" s="21">
        <v>1.85826020700042E14</v>
      </c>
      <c r="L842" s="21">
        <v>10.0</v>
      </c>
      <c r="M842" s="15"/>
      <c r="N842" s="15"/>
      <c r="O842" s="15"/>
    </row>
    <row r="843" ht="22.5" customHeight="1">
      <c r="A843" s="32" t="str">
        <f t="shared" si="1"/>
        <v>3/2026</v>
      </c>
      <c r="B843" s="25">
        <v>46111.48743356482</v>
      </c>
      <c r="C843" s="21" t="s">
        <v>115</v>
      </c>
      <c r="D843" s="21" t="s">
        <v>744</v>
      </c>
      <c r="E843" s="26" t="s">
        <v>745</v>
      </c>
      <c r="F843" s="21" t="s">
        <v>118</v>
      </c>
      <c r="G843" s="21" t="s">
        <v>3227</v>
      </c>
      <c r="H843" s="21" t="s">
        <v>141</v>
      </c>
      <c r="I843" s="21" t="s">
        <v>3228</v>
      </c>
      <c r="J843" s="21" t="s">
        <v>3229</v>
      </c>
      <c r="K843" s="21" t="s">
        <v>122</v>
      </c>
      <c r="M843" s="15"/>
      <c r="N843" s="15"/>
      <c r="O843" s="15"/>
    </row>
    <row r="844" ht="22.5" customHeight="1">
      <c r="A844" s="32" t="str">
        <f t="shared" si="1"/>
        <v>3/2026</v>
      </c>
      <c r="B844" s="25">
        <v>46111.488946840276</v>
      </c>
      <c r="C844" s="21" t="s">
        <v>115</v>
      </c>
      <c r="D844" s="21" t="s">
        <v>3230</v>
      </c>
      <c r="E844" s="26" t="s">
        <v>3231</v>
      </c>
      <c r="F844" s="21" t="s">
        <v>118</v>
      </c>
      <c r="G844" s="21" t="s">
        <v>178</v>
      </c>
      <c r="H844" s="21" t="s">
        <v>141</v>
      </c>
      <c r="I844" s="21" t="s">
        <v>3232</v>
      </c>
      <c r="J844" s="21" t="s">
        <v>1273</v>
      </c>
      <c r="K844" s="21" t="s">
        <v>122</v>
      </c>
      <c r="M844" s="15"/>
      <c r="N844" s="15"/>
      <c r="O844" s="15"/>
    </row>
    <row r="845" ht="22.5" customHeight="1">
      <c r="A845" s="32" t="str">
        <f t="shared" si="1"/>
        <v>3/2026</v>
      </c>
      <c r="B845" s="25">
        <v>46111.49205204861</v>
      </c>
      <c r="C845" s="21" t="s">
        <v>115</v>
      </c>
      <c r="D845" s="21" t="s">
        <v>3233</v>
      </c>
      <c r="E845" s="26" t="s">
        <v>3234</v>
      </c>
      <c r="F845" s="21" t="s">
        <v>118</v>
      </c>
      <c r="G845" s="21">
        <v>3626.0</v>
      </c>
      <c r="H845" s="21" t="s">
        <v>20</v>
      </c>
      <c r="I845" s="21" t="s">
        <v>3235</v>
      </c>
      <c r="J845" s="21" t="s">
        <v>965</v>
      </c>
      <c r="K845" s="21">
        <v>1.86825082100038E14</v>
      </c>
      <c r="M845" s="15"/>
      <c r="N845" s="15"/>
      <c r="O845" s="15"/>
    </row>
    <row r="846" ht="22.5" customHeight="1">
      <c r="A846" s="32" t="str">
        <f t="shared" si="1"/>
        <v>3/2026</v>
      </c>
      <c r="B846" s="25">
        <v>46111.52332674769</v>
      </c>
      <c r="C846" s="21" t="s">
        <v>3186</v>
      </c>
      <c r="D846" s="21" t="s">
        <v>3236</v>
      </c>
      <c r="E846" s="26" t="s">
        <v>3237</v>
      </c>
      <c r="F846" s="21" t="s">
        <v>18</v>
      </c>
      <c r="G846" s="21" t="s">
        <v>609</v>
      </c>
      <c r="H846" s="21" t="s">
        <v>20</v>
      </c>
      <c r="I846" s="21" t="s">
        <v>3238</v>
      </c>
      <c r="J846" s="21" t="s">
        <v>3239</v>
      </c>
      <c r="K846" s="21">
        <v>1.85826020700117E14</v>
      </c>
      <c r="M846" s="15"/>
      <c r="N846" s="15"/>
      <c r="O846" s="15"/>
    </row>
    <row r="847" ht="22.5" customHeight="1">
      <c r="A847" s="32" t="str">
        <f t="shared" si="1"/>
        <v>3/2026</v>
      </c>
      <c r="B847" s="25">
        <v>46111.63343770833</v>
      </c>
      <c r="C847" s="21" t="s">
        <v>3186</v>
      </c>
      <c r="D847" s="21" t="s">
        <v>2544</v>
      </c>
      <c r="E847" s="26" t="s">
        <v>3240</v>
      </c>
      <c r="F847" s="21" t="s">
        <v>18</v>
      </c>
      <c r="G847" s="21" t="s">
        <v>615</v>
      </c>
      <c r="H847" s="21" t="s">
        <v>537</v>
      </c>
      <c r="I847" s="21" t="s">
        <v>3241</v>
      </c>
      <c r="J847" s="21" t="s">
        <v>3242</v>
      </c>
      <c r="K847" s="21" t="s">
        <v>122</v>
      </c>
      <c r="M847" s="15"/>
      <c r="N847" s="15"/>
      <c r="O847" s="15"/>
    </row>
    <row r="848" ht="22.5" customHeight="1">
      <c r="A848" s="32" t="str">
        <f t="shared" si="1"/>
        <v>3/2026</v>
      </c>
      <c r="B848" s="25">
        <v>46111.63797623843</v>
      </c>
      <c r="C848" s="21" t="s">
        <v>3008</v>
      </c>
      <c r="D848" s="21" t="s">
        <v>3243</v>
      </c>
      <c r="E848" s="26" t="s">
        <v>3244</v>
      </c>
      <c r="F848" s="21" t="s">
        <v>303</v>
      </c>
      <c r="G848" s="21" t="s">
        <v>217</v>
      </c>
      <c r="H848" s="21" t="s">
        <v>44</v>
      </c>
      <c r="I848" s="30" t="s">
        <v>3245</v>
      </c>
      <c r="K848" s="21">
        <v>1.85825082200111E14</v>
      </c>
      <c r="M848" s="15"/>
      <c r="N848" s="15"/>
      <c r="O848" s="15"/>
    </row>
    <row r="849" ht="22.5" customHeight="1">
      <c r="A849" s="32" t="str">
        <f t="shared" si="1"/>
        <v>3/2026</v>
      </c>
      <c r="B849" s="25">
        <v>46111.775521689815</v>
      </c>
      <c r="C849" s="21" t="s">
        <v>1181</v>
      </c>
      <c r="D849" s="21" t="s">
        <v>3246</v>
      </c>
      <c r="E849" s="21" t="s">
        <v>3247</v>
      </c>
      <c r="F849" s="21" t="s">
        <v>18</v>
      </c>
      <c r="G849" s="21" t="s">
        <v>3248</v>
      </c>
      <c r="H849" s="21" t="s">
        <v>36</v>
      </c>
      <c r="I849" s="21" t="s">
        <v>3249</v>
      </c>
      <c r="J849" s="21" t="s">
        <v>3250</v>
      </c>
      <c r="K849" s="21" t="s">
        <v>55</v>
      </c>
      <c r="L849" s="21">
        <v>18.0</v>
      </c>
      <c r="M849" s="15"/>
      <c r="N849" s="15"/>
      <c r="O849" s="15"/>
    </row>
    <row r="850" ht="22.5" customHeight="1">
      <c r="A850" s="32" t="str">
        <f t="shared" si="1"/>
        <v>3/2026</v>
      </c>
      <c r="B850" s="25">
        <v>46111.78480188658</v>
      </c>
      <c r="C850" s="21" t="s">
        <v>1181</v>
      </c>
      <c r="D850" s="21" t="s">
        <v>188</v>
      </c>
      <c r="E850" s="26" t="s">
        <v>3251</v>
      </c>
      <c r="F850" s="21" t="s">
        <v>18</v>
      </c>
      <c r="G850" s="21" t="s">
        <v>536</v>
      </c>
      <c r="H850" s="21" t="s">
        <v>141</v>
      </c>
      <c r="I850" s="21" t="s">
        <v>3252</v>
      </c>
      <c r="J850" s="21" t="s">
        <v>3253</v>
      </c>
      <c r="K850" s="21" t="s">
        <v>55</v>
      </c>
      <c r="L850" s="21">
        <v>26.0</v>
      </c>
      <c r="M850" s="15"/>
      <c r="N850" s="15"/>
      <c r="O850" s="15"/>
    </row>
    <row r="851" ht="22.5" customHeight="1">
      <c r="A851" s="32" t="str">
        <f t="shared" si="1"/>
        <v>3/2026</v>
      </c>
      <c r="B851" s="25">
        <v>46111.786388981476</v>
      </c>
      <c r="C851" s="21" t="s">
        <v>1181</v>
      </c>
      <c r="D851" s="21" t="s">
        <v>3254</v>
      </c>
      <c r="E851" s="26" t="s">
        <v>3255</v>
      </c>
      <c r="F851" s="21" t="s">
        <v>18</v>
      </c>
      <c r="G851" s="21" t="s">
        <v>3256</v>
      </c>
      <c r="H851" s="21" t="s">
        <v>141</v>
      </c>
      <c r="I851" s="21" t="s">
        <v>3257</v>
      </c>
      <c r="J851" s="21" t="s">
        <v>3258</v>
      </c>
      <c r="K851" s="21" t="s">
        <v>55</v>
      </c>
      <c r="L851" s="21">
        <v>22.0</v>
      </c>
      <c r="M851" s="15"/>
      <c r="N851" s="15"/>
      <c r="O851" s="15"/>
    </row>
    <row r="852" ht="22.5" customHeight="1">
      <c r="A852" s="32" t="str">
        <f t="shared" si="1"/>
        <v>3/2026</v>
      </c>
      <c r="B852" s="25">
        <v>46111.837655995376</v>
      </c>
      <c r="C852" s="21" t="s">
        <v>51</v>
      </c>
      <c r="D852" s="21" t="s">
        <v>72</v>
      </c>
      <c r="E852" s="26" t="s">
        <v>3259</v>
      </c>
      <c r="F852" s="21" t="s">
        <v>106</v>
      </c>
      <c r="G852" s="21" t="s">
        <v>2752</v>
      </c>
      <c r="H852" s="21" t="s">
        <v>44</v>
      </c>
      <c r="I852" s="21" t="s">
        <v>3260</v>
      </c>
      <c r="K852" s="21">
        <v>1.85825082200125E14</v>
      </c>
      <c r="M852" s="15"/>
      <c r="N852" s="15"/>
      <c r="O852" s="15"/>
    </row>
    <row r="853" ht="22.5" customHeight="1">
      <c r="A853" s="32" t="str">
        <f t="shared" si="1"/>
        <v>3/2026</v>
      </c>
      <c r="B853" s="25">
        <v>46111.839869097224</v>
      </c>
      <c r="C853" s="21" t="s">
        <v>51</v>
      </c>
      <c r="D853" s="21" t="s">
        <v>3261</v>
      </c>
      <c r="E853" s="26" t="s">
        <v>3262</v>
      </c>
      <c r="F853" s="21" t="s">
        <v>18</v>
      </c>
      <c r="G853" s="21" t="s">
        <v>135</v>
      </c>
      <c r="H853" s="21" t="s">
        <v>20</v>
      </c>
      <c r="I853" s="21" t="s">
        <v>3263</v>
      </c>
      <c r="K853" s="21">
        <v>1.86825082100127E14</v>
      </c>
      <c r="M853" s="15"/>
      <c r="N853" s="15"/>
      <c r="O853" s="15"/>
    </row>
    <row r="854" ht="22.5" customHeight="1">
      <c r="A854" s="32" t="str">
        <f t="shared" si="1"/>
        <v>3/2026</v>
      </c>
      <c r="B854" s="25">
        <v>46111.84198563657</v>
      </c>
      <c r="C854" s="21" t="s">
        <v>51</v>
      </c>
      <c r="D854" s="21" t="s">
        <v>3264</v>
      </c>
      <c r="E854" s="26" t="s">
        <v>3265</v>
      </c>
      <c r="F854" s="21" t="s">
        <v>18</v>
      </c>
      <c r="G854" s="21" t="s">
        <v>30</v>
      </c>
      <c r="H854" s="21" t="s">
        <v>20</v>
      </c>
      <c r="I854" s="21" t="s">
        <v>3266</v>
      </c>
      <c r="K854" s="21">
        <v>1.86825082100075E14</v>
      </c>
      <c r="M854" s="15"/>
      <c r="N854" s="15"/>
      <c r="O854" s="15"/>
    </row>
    <row r="855" ht="22.5" customHeight="1">
      <c r="A855" s="32" t="str">
        <f t="shared" si="1"/>
        <v>3/2026</v>
      </c>
      <c r="B855" s="25">
        <v>46111.84449325231</v>
      </c>
      <c r="C855" s="21" t="s">
        <v>51</v>
      </c>
      <c r="D855" s="21" t="s">
        <v>265</v>
      </c>
      <c r="E855" s="26" t="s">
        <v>266</v>
      </c>
      <c r="F855" s="21" t="s">
        <v>18</v>
      </c>
      <c r="G855" s="21" t="s">
        <v>30</v>
      </c>
      <c r="H855" s="21" t="s">
        <v>425</v>
      </c>
      <c r="I855" s="30" t="s">
        <v>3267</v>
      </c>
      <c r="K855" s="21">
        <v>1.86825082100167E14</v>
      </c>
      <c r="M855" s="15"/>
      <c r="N855" s="15"/>
      <c r="O855" s="15"/>
    </row>
    <row r="856" ht="22.5" customHeight="1">
      <c r="A856" s="32" t="str">
        <f t="shared" si="1"/>
        <v>3/2026</v>
      </c>
      <c r="B856" s="25">
        <v>46112.38444454861</v>
      </c>
      <c r="C856" s="21" t="s">
        <v>61</v>
      </c>
      <c r="D856" s="21" t="s">
        <v>1396</v>
      </c>
      <c r="E856" s="26" t="s">
        <v>3268</v>
      </c>
      <c r="F856" s="21" t="s">
        <v>64</v>
      </c>
      <c r="G856" s="21" t="s">
        <v>383</v>
      </c>
      <c r="H856" s="21" t="s">
        <v>36</v>
      </c>
      <c r="I856" s="21" t="s">
        <v>3269</v>
      </c>
      <c r="J856" s="21" t="s">
        <v>3270</v>
      </c>
      <c r="K856" s="21">
        <v>1.19823021300404E14</v>
      </c>
      <c r="M856" s="15"/>
      <c r="N856" s="15"/>
      <c r="O856" s="15"/>
    </row>
    <row r="857" ht="22.5" customHeight="1">
      <c r="A857" s="32" t="str">
        <f t="shared" si="1"/>
        <v>3/2026</v>
      </c>
      <c r="B857" s="25">
        <v>46112.6525512963</v>
      </c>
      <c r="C857" s="21" t="s">
        <v>3186</v>
      </c>
      <c r="D857" s="21" t="s">
        <v>3271</v>
      </c>
      <c r="E857" s="26" t="s">
        <v>2714</v>
      </c>
      <c r="F857" s="21" t="s">
        <v>18</v>
      </c>
      <c r="G857" s="21" t="s">
        <v>3272</v>
      </c>
      <c r="H857" s="21" t="s">
        <v>635</v>
      </c>
      <c r="I857" s="21" t="s">
        <v>3273</v>
      </c>
      <c r="J857" s="21" t="s">
        <v>3274</v>
      </c>
      <c r="K857" s="21">
        <v>1.86825082100064E14</v>
      </c>
      <c r="M857" s="15"/>
      <c r="N857" s="15"/>
      <c r="O857" s="15"/>
    </row>
    <row r="858" ht="22.5" customHeight="1">
      <c r="A858" s="32" t="str">
        <f t="shared" si="1"/>
        <v>3/2026</v>
      </c>
      <c r="B858" s="25">
        <v>46112.67121983797</v>
      </c>
      <c r="C858" s="21" t="s">
        <v>132</v>
      </c>
      <c r="D858" s="21" t="s">
        <v>3275</v>
      </c>
      <c r="E858" s="26" t="s">
        <v>3276</v>
      </c>
      <c r="F858" s="21" t="s">
        <v>18</v>
      </c>
      <c r="G858" s="21" t="s">
        <v>217</v>
      </c>
      <c r="H858" s="21" t="s">
        <v>44</v>
      </c>
      <c r="I858" s="21" t="s">
        <v>3277</v>
      </c>
      <c r="K858" s="21">
        <v>1.85826020700005E14</v>
      </c>
      <c r="M858" s="15"/>
      <c r="N858" s="15"/>
      <c r="O858" s="15"/>
    </row>
    <row r="859" ht="22.5" customHeight="1">
      <c r="A859" s="32" t="str">
        <f t="shared" si="1"/>
        <v>3/2026</v>
      </c>
      <c r="B859" s="25">
        <v>46112.6739546412</v>
      </c>
      <c r="C859" s="21" t="s">
        <v>320</v>
      </c>
      <c r="D859" s="21" t="s">
        <v>3278</v>
      </c>
      <c r="E859" s="26" t="s">
        <v>3279</v>
      </c>
      <c r="F859" s="21" t="s">
        <v>812</v>
      </c>
      <c r="G859" s="21" t="s">
        <v>3280</v>
      </c>
      <c r="H859" s="21" t="s">
        <v>36</v>
      </c>
      <c r="I859" s="21" t="s">
        <v>3281</v>
      </c>
      <c r="K859" s="21">
        <v>1.39824102800231E14</v>
      </c>
      <c r="M859" s="15"/>
      <c r="N859" s="15"/>
      <c r="O859" s="15"/>
    </row>
    <row r="860" ht="22.5" customHeight="1">
      <c r="A860" s="32" t="str">
        <f t="shared" si="1"/>
        <v>3/2026</v>
      </c>
      <c r="B860" s="25">
        <v>46112.84192170139</v>
      </c>
      <c r="C860" s="21" t="s">
        <v>386</v>
      </c>
      <c r="D860" s="21" t="s">
        <v>3282</v>
      </c>
      <c r="E860" s="26" t="s">
        <v>3283</v>
      </c>
      <c r="F860" s="21" t="s">
        <v>18</v>
      </c>
      <c r="G860" s="21" t="s">
        <v>229</v>
      </c>
      <c r="H860" s="21" t="s">
        <v>1678</v>
      </c>
      <c r="I860" s="21" t="s">
        <v>3284</v>
      </c>
      <c r="J860" s="21" t="s">
        <v>3285</v>
      </c>
      <c r="K860" s="21">
        <v>1.19824092800185E14</v>
      </c>
      <c r="M860" s="15"/>
      <c r="N860" s="15"/>
      <c r="O860" s="15"/>
    </row>
    <row r="861" ht="22.5" customHeight="1">
      <c r="A861" s="32" t="str">
        <f t="shared" si="1"/>
        <v>3/2026</v>
      </c>
      <c r="B861" s="25">
        <v>46112.85080363426</v>
      </c>
      <c r="C861" s="21" t="s">
        <v>1181</v>
      </c>
      <c r="D861" s="21" t="s">
        <v>909</v>
      </c>
      <c r="E861" s="26" t="s">
        <v>3286</v>
      </c>
      <c r="F861" s="21" t="s">
        <v>18</v>
      </c>
      <c r="G861" s="21" t="s">
        <v>1505</v>
      </c>
      <c r="H861" s="21" t="s">
        <v>36</v>
      </c>
      <c r="I861" s="21" t="s">
        <v>3287</v>
      </c>
      <c r="J861" s="21" t="s">
        <v>2163</v>
      </c>
      <c r="K861" s="21">
        <v>1.39824092700334E14</v>
      </c>
      <c r="L861" s="21">
        <v>29.0</v>
      </c>
      <c r="M861" s="15"/>
      <c r="N861" s="15"/>
      <c r="O861" s="15"/>
    </row>
    <row r="862" ht="22.5" customHeight="1">
      <c r="A862" s="32" t="str">
        <f t="shared" si="1"/>
        <v>3/2026</v>
      </c>
      <c r="B862" s="25">
        <v>46112.85402738426</v>
      </c>
      <c r="C862" s="21" t="s">
        <v>1181</v>
      </c>
      <c r="D862" s="21" t="s">
        <v>3288</v>
      </c>
      <c r="E862" s="26" t="s">
        <v>3289</v>
      </c>
      <c r="F862" s="21" t="s">
        <v>18</v>
      </c>
      <c r="G862" s="21" t="s">
        <v>1761</v>
      </c>
      <c r="H862" s="21" t="s">
        <v>141</v>
      </c>
      <c r="I862" s="21" t="s">
        <v>3290</v>
      </c>
      <c r="J862" s="21" t="s">
        <v>3291</v>
      </c>
      <c r="K862" s="21" t="s">
        <v>55</v>
      </c>
      <c r="L862" s="21">
        <v>20.0</v>
      </c>
      <c r="M862" s="15"/>
      <c r="N862" s="15"/>
      <c r="O862" s="15"/>
    </row>
    <row r="863" ht="22.5" customHeight="1">
      <c r="A863" s="32" t="str">
        <f t="shared" si="1"/>
        <v>4/2026</v>
      </c>
      <c r="B863" s="25">
        <v>46113.47662383102</v>
      </c>
      <c r="C863" s="21" t="s">
        <v>1181</v>
      </c>
      <c r="D863" s="21" t="s">
        <v>3292</v>
      </c>
      <c r="E863" s="26" t="s">
        <v>3293</v>
      </c>
      <c r="F863" s="21" t="s">
        <v>18</v>
      </c>
      <c r="G863" s="21" t="s">
        <v>3294</v>
      </c>
      <c r="H863" s="21" t="s">
        <v>141</v>
      </c>
      <c r="I863" s="29" t="s">
        <v>3295</v>
      </c>
      <c r="J863" s="21" t="s">
        <v>3296</v>
      </c>
      <c r="K863" s="21" t="s">
        <v>55</v>
      </c>
      <c r="L863" s="21">
        <v>19.0</v>
      </c>
      <c r="M863" s="15"/>
      <c r="N863" s="15"/>
      <c r="O863" s="15"/>
    </row>
    <row r="864" ht="22.5" customHeight="1">
      <c r="A864" s="32" t="str">
        <f t="shared" si="1"/>
        <v>4/2026</v>
      </c>
      <c r="B864" s="25">
        <v>46113.47836274306</v>
      </c>
      <c r="C864" s="21" t="s">
        <v>1181</v>
      </c>
      <c r="D864" s="21" t="s">
        <v>3297</v>
      </c>
      <c r="E864" s="21" t="s">
        <v>3298</v>
      </c>
      <c r="F864" s="21" t="s">
        <v>18</v>
      </c>
      <c r="G864" s="21" t="s">
        <v>2067</v>
      </c>
      <c r="H864" s="21" t="s">
        <v>36</v>
      </c>
      <c r="I864" s="21" t="s">
        <v>3299</v>
      </c>
      <c r="J864" s="21" t="s">
        <v>3092</v>
      </c>
      <c r="K864" s="21">
        <v>1.19823021300344E14</v>
      </c>
      <c r="L864" s="21">
        <v>15.0</v>
      </c>
      <c r="M864" s="15"/>
      <c r="N864" s="15"/>
      <c r="O864" s="15"/>
    </row>
    <row r="865" ht="22.5" customHeight="1">
      <c r="A865" s="32" t="str">
        <f t="shared" si="1"/>
        <v>4/2026</v>
      </c>
      <c r="B865" s="25">
        <v>46113.511828159724</v>
      </c>
      <c r="C865" s="21" t="s">
        <v>123</v>
      </c>
      <c r="D865" s="21" t="s">
        <v>3300</v>
      </c>
      <c r="E865" s="26" t="s">
        <v>3301</v>
      </c>
      <c r="F865" s="21" t="s">
        <v>18</v>
      </c>
      <c r="G865" s="21">
        <v>3626.0</v>
      </c>
      <c r="H865" s="21" t="s">
        <v>20</v>
      </c>
      <c r="I865" s="21" t="s">
        <v>3302</v>
      </c>
      <c r="J865" s="21" t="s">
        <v>3303</v>
      </c>
      <c r="K865" s="21">
        <v>1.86825082100025E14</v>
      </c>
      <c r="M865" s="15"/>
      <c r="N865" s="15"/>
      <c r="O865" s="15"/>
    </row>
    <row r="866" ht="22.5" customHeight="1">
      <c r="A866" s="32" t="str">
        <f t="shared" si="1"/>
        <v>4/2026</v>
      </c>
      <c r="B866" s="25">
        <v>46113.52790238426</v>
      </c>
      <c r="C866" s="21" t="s">
        <v>188</v>
      </c>
      <c r="D866" s="21" t="s">
        <v>3304</v>
      </c>
      <c r="E866" s="26" t="s">
        <v>3305</v>
      </c>
      <c r="F866" s="21" t="s">
        <v>191</v>
      </c>
      <c r="G866" s="21" t="s">
        <v>304</v>
      </c>
      <c r="H866" s="21" t="s">
        <v>20</v>
      </c>
      <c r="I866" s="21" t="s">
        <v>3306</v>
      </c>
      <c r="J866" s="21" t="s">
        <v>3307</v>
      </c>
      <c r="K866" s="21">
        <v>1.85826020700045E14</v>
      </c>
      <c r="L866" s="21">
        <v>64.0</v>
      </c>
      <c r="M866" s="15"/>
      <c r="N866" s="15"/>
      <c r="O866" s="15"/>
    </row>
    <row r="867" ht="22.5" customHeight="1">
      <c r="A867" s="32" t="str">
        <f t="shared" si="1"/>
        <v>4/2026</v>
      </c>
      <c r="B867" s="25">
        <v>46113.78302418982</v>
      </c>
      <c r="C867" s="21" t="s">
        <v>1181</v>
      </c>
      <c r="D867" s="21" t="s">
        <v>3308</v>
      </c>
      <c r="E867" s="21" t="s">
        <v>3309</v>
      </c>
      <c r="F867" s="21" t="s">
        <v>18</v>
      </c>
      <c r="G867" s="21" t="s">
        <v>3310</v>
      </c>
      <c r="H867" s="21" t="s">
        <v>36</v>
      </c>
      <c r="I867" s="21" t="s">
        <v>3311</v>
      </c>
      <c r="J867" s="21" t="s">
        <v>417</v>
      </c>
      <c r="K867" s="21">
        <v>1.39824102800354E14</v>
      </c>
      <c r="L867" s="21">
        <v>16.0</v>
      </c>
      <c r="M867" s="15"/>
      <c r="N867" s="15"/>
      <c r="O867" s="15"/>
    </row>
    <row r="868" ht="22.5" customHeight="1">
      <c r="A868" s="32" t="str">
        <f t="shared" si="1"/>
        <v>4/2026</v>
      </c>
      <c r="B868" s="25">
        <v>46114.446326840276</v>
      </c>
      <c r="C868" s="21" t="s">
        <v>3008</v>
      </c>
      <c r="D868" s="21" t="s">
        <v>1580</v>
      </c>
      <c r="E868" s="26" t="s">
        <v>3312</v>
      </c>
      <c r="F868" s="21" t="s">
        <v>303</v>
      </c>
      <c r="G868" s="21" t="s">
        <v>3313</v>
      </c>
      <c r="H868" s="21" t="s">
        <v>44</v>
      </c>
      <c r="I868" s="30" t="s">
        <v>3314</v>
      </c>
      <c r="K868" s="21">
        <v>1.85825082200091E14</v>
      </c>
      <c r="M868" s="15"/>
      <c r="N868" s="15"/>
      <c r="O868" s="15"/>
    </row>
    <row r="869" ht="22.5" customHeight="1">
      <c r="A869" s="32" t="str">
        <f t="shared" si="1"/>
        <v>4/2026</v>
      </c>
      <c r="B869" s="25">
        <v>46114.46919283565</v>
      </c>
      <c r="C869" s="21" t="s">
        <v>408</v>
      </c>
      <c r="D869" s="21" t="s">
        <v>1499</v>
      </c>
      <c r="E869" s="26" t="s">
        <v>3315</v>
      </c>
      <c r="F869" s="21" t="s">
        <v>118</v>
      </c>
      <c r="G869" s="21" t="s">
        <v>217</v>
      </c>
      <c r="H869" s="21" t="s">
        <v>44</v>
      </c>
      <c r="I869" s="21" t="s">
        <v>3316</v>
      </c>
      <c r="J869" s="21" t="s">
        <v>3317</v>
      </c>
      <c r="K869" s="21">
        <v>1.85826020700116E14</v>
      </c>
      <c r="M869" s="15"/>
      <c r="N869" s="15"/>
      <c r="O869" s="15"/>
    </row>
    <row r="870" ht="22.5" customHeight="1">
      <c r="A870" s="32" t="str">
        <f t="shared" si="1"/>
        <v>4/2026</v>
      </c>
      <c r="B870" s="25">
        <v>46114.68556435185</v>
      </c>
      <c r="C870" s="21" t="s">
        <v>1181</v>
      </c>
      <c r="D870" s="21" t="s">
        <v>3040</v>
      </c>
      <c r="E870" s="26" t="s">
        <v>3318</v>
      </c>
      <c r="F870" s="21" t="s">
        <v>18</v>
      </c>
      <c r="G870" s="21" t="s">
        <v>3248</v>
      </c>
      <c r="H870" s="21" t="s">
        <v>36</v>
      </c>
      <c r="I870" s="21" t="s">
        <v>3319</v>
      </c>
      <c r="J870" s="21" t="s">
        <v>3320</v>
      </c>
      <c r="K870" s="21">
        <v>1.39824092700523E14</v>
      </c>
      <c r="L870" s="21">
        <v>19.0</v>
      </c>
      <c r="M870" s="15"/>
      <c r="N870" s="15"/>
      <c r="O870" s="15"/>
    </row>
    <row r="871" ht="22.5" customHeight="1">
      <c r="A871" s="32" t="str">
        <f t="shared" si="1"/>
        <v>4/2026</v>
      </c>
      <c r="B871" s="25">
        <v>46115.78569744213</v>
      </c>
      <c r="C871" s="21" t="s">
        <v>3186</v>
      </c>
      <c r="D871" s="21" t="s">
        <v>3321</v>
      </c>
      <c r="E871" s="26" t="s">
        <v>3322</v>
      </c>
      <c r="F871" s="21" t="s">
        <v>18</v>
      </c>
      <c r="G871" s="21" t="s">
        <v>3323</v>
      </c>
      <c r="H871" s="21" t="s">
        <v>20</v>
      </c>
      <c r="I871" s="21" t="s">
        <v>3324</v>
      </c>
      <c r="J871" s="21" t="s">
        <v>3325</v>
      </c>
      <c r="K871" s="21">
        <v>1.8682508210014E14</v>
      </c>
      <c r="M871" s="15"/>
      <c r="N871" s="15"/>
      <c r="O871" s="15"/>
    </row>
    <row r="872" ht="22.5" customHeight="1">
      <c r="A872" s="32" t="str">
        <f t="shared" si="1"/>
        <v>4/2026</v>
      </c>
      <c r="B872" s="25">
        <v>46115.79086922454</v>
      </c>
      <c r="C872" s="21" t="s">
        <v>115</v>
      </c>
      <c r="D872" s="21" t="s">
        <v>3326</v>
      </c>
      <c r="E872" s="26" t="s">
        <v>3327</v>
      </c>
      <c r="F872" s="21" t="s">
        <v>118</v>
      </c>
      <c r="G872" s="21" t="s">
        <v>3328</v>
      </c>
      <c r="H872" s="21" t="s">
        <v>36</v>
      </c>
      <c r="I872" s="21" t="s">
        <v>3329</v>
      </c>
      <c r="J872" s="21" t="s">
        <v>965</v>
      </c>
      <c r="K872" s="21" t="s">
        <v>122</v>
      </c>
      <c r="L872" s="21">
        <v>12.0</v>
      </c>
      <c r="M872" s="15"/>
      <c r="N872" s="15"/>
      <c r="O872" s="15"/>
    </row>
    <row r="873" ht="22.5" customHeight="1">
      <c r="A873" s="32" t="str">
        <f t="shared" si="1"/>
        <v>4/2026</v>
      </c>
      <c r="B873" s="25">
        <v>46115.79317899306</v>
      </c>
      <c r="C873" s="21" t="s">
        <v>115</v>
      </c>
      <c r="D873" s="21" t="s">
        <v>3330</v>
      </c>
      <c r="E873" s="26" t="s">
        <v>3331</v>
      </c>
      <c r="F873" s="21" t="s">
        <v>118</v>
      </c>
      <c r="G873" s="21" t="s">
        <v>3332</v>
      </c>
      <c r="H873" s="21" t="s">
        <v>141</v>
      </c>
      <c r="I873" s="21" t="s">
        <v>3333</v>
      </c>
      <c r="J873" s="21" t="s">
        <v>965</v>
      </c>
      <c r="K873" s="21" t="s">
        <v>798</v>
      </c>
      <c r="M873" s="15"/>
      <c r="N873" s="15"/>
      <c r="O873" s="15"/>
    </row>
    <row r="874" ht="22.5" customHeight="1">
      <c r="A874" s="32" t="str">
        <f t="shared" si="1"/>
        <v>4/2026</v>
      </c>
      <c r="B874" s="25">
        <v>46115.79465005787</v>
      </c>
      <c r="C874" s="21" t="s">
        <v>115</v>
      </c>
      <c r="D874" s="21" t="s">
        <v>200</v>
      </c>
      <c r="E874" s="26" t="s">
        <v>3334</v>
      </c>
      <c r="F874" s="21" t="s">
        <v>118</v>
      </c>
      <c r="G874" s="21" t="s">
        <v>3335</v>
      </c>
      <c r="H874" s="21" t="s">
        <v>36</v>
      </c>
      <c r="I874" s="21" t="s">
        <v>3336</v>
      </c>
      <c r="J874" s="21" t="s">
        <v>965</v>
      </c>
      <c r="K874" s="21" t="s">
        <v>122</v>
      </c>
      <c r="L874" s="21">
        <v>27.0</v>
      </c>
      <c r="M874" s="15"/>
      <c r="N874" s="15"/>
      <c r="O874" s="15"/>
    </row>
    <row r="875" ht="22.5" customHeight="1">
      <c r="A875" s="32" t="str">
        <f t="shared" si="1"/>
        <v>4/2026</v>
      </c>
      <c r="B875" s="25">
        <v>46115.848655127316</v>
      </c>
      <c r="C875" s="21" t="s">
        <v>115</v>
      </c>
      <c r="D875" s="21" t="s">
        <v>3337</v>
      </c>
      <c r="E875" s="26" t="s">
        <v>3338</v>
      </c>
      <c r="F875" s="21" t="s">
        <v>118</v>
      </c>
      <c r="G875" s="21" t="s">
        <v>3339</v>
      </c>
      <c r="H875" s="21" t="s">
        <v>141</v>
      </c>
      <c r="I875" s="21" t="s">
        <v>3340</v>
      </c>
      <c r="J875" s="21" t="s">
        <v>3341</v>
      </c>
      <c r="K875" s="21" t="s">
        <v>540</v>
      </c>
      <c r="M875" s="15"/>
      <c r="N875" s="15"/>
      <c r="O875" s="15"/>
    </row>
    <row r="876" ht="22.5" customHeight="1">
      <c r="A876" s="32" t="str">
        <f t="shared" si="1"/>
        <v>4/2026</v>
      </c>
      <c r="B876" s="25">
        <v>46115.850355</v>
      </c>
      <c r="C876" s="21" t="s">
        <v>115</v>
      </c>
      <c r="D876" s="21" t="s">
        <v>3342</v>
      </c>
      <c r="E876" s="26" t="s">
        <v>3343</v>
      </c>
      <c r="F876" s="21" t="s">
        <v>118</v>
      </c>
      <c r="G876" s="21" t="s">
        <v>3344</v>
      </c>
      <c r="H876" s="21" t="s">
        <v>141</v>
      </c>
      <c r="I876" s="21" t="s">
        <v>3345</v>
      </c>
      <c r="J876" s="21" t="s">
        <v>3346</v>
      </c>
      <c r="K876" s="21" t="s">
        <v>122</v>
      </c>
      <c r="M876" s="15"/>
      <c r="N876" s="15"/>
      <c r="O876" s="15"/>
    </row>
    <row r="877" ht="22.5" customHeight="1">
      <c r="A877" s="32" t="str">
        <f t="shared" si="1"/>
        <v>4/2026</v>
      </c>
      <c r="B877" s="25">
        <v>46115.852652974536</v>
      </c>
      <c r="C877" s="21" t="s">
        <v>115</v>
      </c>
      <c r="D877" s="21" t="s">
        <v>3347</v>
      </c>
      <c r="E877" s="26" t="s">
        <v>3348</v>
      </c>
      <c r="F877" s="21" t="s">
        <v>3349</v>
      </c>
      <c r="G877" s="21" t="s">
        <v>3350</v>
      </c>
      <c r="H877" s="21" t="s">
        <v>141</v>
      </c>
      <c r="I877" s="21" t="s">
        <v>3351</v>
      </c>
      <c r="J877" s="21" t="s">
        <v>3352</v>
      </c>
      <c r="K877" s="21" t="s">
        <v>122</v>
      </c>
      <c r="M877" s="15"/>
      <c r="N877" s="15"/>
      <c r="O877" s="15"/>
    </row>
    <row r="878" ht="22.5" customHeight="1">
      <c r="A878" s="32" t="str">
        <f t="shared" si="1"/>
        <v>4/2026</v>
      </c>
      <c r="B878" s="25">
        <v>46115.910170034724</v>
      </c>
      <c r="C878" s="21" t="s">
        <v>51</v>
      </c>
      <c r="D878" s="21" t="s">
        <v>1041</v>
      </c>
      <c r="E878" s="26" t="s">
        <v>3353</v>
      </c>
      <c r="F878" s="21" t="s">
        <v>18</v>
      </c>
      <c r="G878" s="21" t="s">
        <v>291</v>
      </c>
      <c r="H878" s="21" t="s">
        <v>141</v>
      </c>
      <c r="I878" s="21" t="s">
        <v>3354</v>
      </c>
      <c r="K878" s="21">
        <v>1.8582508220015E14</v>
      </c>
      <c r="M878" s="15"/>
      <c r="N878" s="15"/>
      <c r="O878" s="15"/>
    </row>
    <row r="879" ht="22.5" customHeight="1">
      <c r="A879" s="32" t="str">
        <f t="shared" si="1"/>
        <v>4/2026</v>
      </c>
      <c r="B879" s="25">
        <v>46116.398689027774</v>
      </c>
      <c r="C879" s="21" t="s">
        <v>1181</v>
      </c>
      <c r="D879" s="21" t="s">
        <v>3355</v>
      </c>
      <c r="E879" s="26" t="s">
        <v>3356</v>
      </c>
      <c r="F879" s="21" t="s">
        <v>18</v>
      </c>
      <c r="G879" s="21" t="s">
        <v>3357</v>
      </c>
      <c r="H879" s="21" t="s">
        <v>36</v>
      </c>
      <c r="I879" s="21" t="s">
        <v>3358</v>
      </c>
      <c r="J879" s="21" t="s">
        <v>3359</v>
      </c>
      <c r="K879" s="21" t="s">
        <v>55</v>
      </c>
      <c r="L879" s="21">
        <v>9.0</v>
      </c>
      <c r="M879" s="15"/>
      <c r="N879" s="15"/>
      <c r="O879" s="15"/>
    </row>
    <row r="880" ht="22.5" customHeight="1">
      <c r="A880" s="32" t="str">
        <f t="shared" si="1"/>
        <v>4/2026</v>
      </c>
      <c r="B880" s="25">
        <v>46116.40222481481</v>
      </c>
      <c r="C880" s="21" t="s">
        <v>1181</v>
      </c>
      <c r="D880" s="21" t="s">
        <v>3360</v>
      </c>
      <c r="E880" s="26" t="s">
        <v>3361</v>
      </c>
      <c r="F880" s="21" t="s">
        <v>18</v>
      </c>
      <c r="G880" s="21" t="s">
        <v>3357</v>
      </c>
      <c r="H880" s="21" t="s">
        <v>36</v>
      </c>
      <c r="I880" s="21" t="s">
        <v>3362</v>
      </c>
      <c r="J880" s="21" t="s">
        <v>3363</v>
      </c>
      <c r="K880" s="21" t="s">
        <v>55</v>
      </c>
      <c r="L880" s="21">
        <v>12.0</v>
      </c>
      <c r="M880" s="15"/>
      <c r="N880" s="15"/>
      <c r="O880" s="15"/>
    </row>
    <row r="881" ht="22.5" customHeight="1">
      <c r="A881" s="32" t="str">
        <f t="shared" si="1"/>
        <v>4/2026</v>
      </c>
      <c r="B881" s="25">
        <v>46116.42351137732</v>
      </c>
      <c r="C881" s="21" t="s">
        <v>3364</v>
      </c>
      <c r="D881" s="21" t="s">
        <v>3365</v>
      </c>
      <c r="E881" s="26" t="s">
        <v>3366</v>
      </c>
      <c r="F881" s="21" t="s">
        <v>3349</v>
      </c>
      <c r="G881" s="21" t="s">
        <v>3350</v>
      </c>
      <c r="H881" s="21" t="s">
        <v>36</v>
      </c>
      <c r="I881" s="21" t="s">
        <v>3367</v>
      </c>
      <c r="K881" s="21">
        <v>1.19824092800076E14</v>
      </c>
      <c r="L881" s="21">
        <v>10.0</v>
      </c>
      <c r="M881" s="15"/>
      <c r="N881" s="15"/>
      <c r="O881" s="15"/>
    </row>
    <row r="882" ht="22.5" customHeight="1">
      <c r="A882" s="32" t="str">
        <f t="shared" si="1"/>
        <v>4/2026</v>
      </c>
      <c r="B882" s="25">
        <v>46116.467596076385</v>
      </c>
      <c r="C882" s="21" t="s">
        <v>214</v>
      </c>
      <c r="D882" s="21" t="s">
        <v>3368</v>
      </c>
      <c r="E882" s="26" t="s">
        <v>3369</v>
      </c>
      <c r="F882" s="21" t="s">
        <v>18</v>
      </c>
      <c r="G882" s="21" t="s">
        <v>291</v>
      </c>
      <c r="H882" s="21" t="s">
        <v>20</v>
      </c>
      <c r="I882" s="21" t="s">
        <v>3370</v>
      </c>
      <c r="K882" s="21">
        <v>1.85826020700055E14</v>
      </c>
      <c r="M882" s="15"/>
      <c r="N882" s="15"/>
      <c r="O882" s="15"/>
    </row>
    <row r="883" ht="22.5" customHeight="1">
      <c r="A883" s="32" t="str">
        <f t="shared" si="1"/>
        <v>4/2026</v>
      </c>
      <c r="B883" s="25">
        <v>46116.55734327546</v>
      </c>
      <c r="C883" s="21" t="s">
        <v>1181</v>
      </c>
      <c r="D883" s="21" t="s">
        <v>3371</v>
      </c>
      <c r="E883" s="26" t="s">
        <v>3372</v>
      </c>
      <c r="F883" s="21" t="s">
        <v>18</v>
      </c>
      <c r="G883" s="21" t="s">
        <v>3373</v>
      </c>
      <c r="H883" s="21" t="s">
        <v>36</v>
      </c>
      <c r="I883" s="21" t="s">
        <v>3374</v>
      </c>
      <c r="J883" s="21" t="s">
        <v>700</v>
      </c>
      <c r="K883" s="21" t="s">
        <v>55</v>
      </c>
      <c r="L883" s="21">
        <v>16.0</v>
      </c>
      <c r="M883" s="15"/>
      <c r="N883" s="15"/>
      <c r="O883" s="15"/>
    </row>
    <row r="884" ht="22.5" customHeight="1">
      <c r="A884" s="32" t="str">
        <f t="shared" si="1"/>
        <v>4/2026</v>
      </c>
      <c r="B884" s="25">
        <v>46116.66935420139</v>
      </c>
      <c r="C884" s="21" t="s">
        <v>1181</v>
      </c>
      <c r="D884" s="21" t="s">
        <v>3375</v>
      </c>
      <c r="E884" s="21" t="s">
        <v>3376</v>
      </c>
      <c r="F884" s="21" t="s">
        <v>18</v>
      </c>
      <c r="G884" s="21" t="s">
        <v>3373</v>
      </c>
      <c r="H884" s="21" t="s">
        <v>36</v>
      </c>
      <c r="I884" s="21" t="s">
        <v>3377</v>
      </c>
      <c r="J884" s="21" t="s">
        <v>417</v>
      </c>
      <c r="K884" s="21">
        <v>1.39824102800356E14</v>
      </c>
      <c r="L884" s="21">
        <v>20.0</v>
      </c>
      <c r="M884" s="15"/>
      <c r="N884" s="15"/>
      <c r="O884" s="15"/>
    </row>
    <row r="885" ht="22.5" customHeight="1">
      <c r="A885" s="32" t="str">
        <f t="shared" si="1"/>
        <v>4/2026</v>
      </c>
      <c r="B885" s="25">
        <v>46116.88352766204</v>
      </c>
      <c r="C885" s="21" t="s">
        <v>408</v>
      </c>
      <c r="D885" s="21" t="s">
        <v>3378</v>
      </c>
      <c r="E885" s="26" t="s">
        <v>3379</v>
      </c>
      <c r="F885" s="21" t="s">
        <v>118</v>
      </c>
      <c r="G885" s="21" t="s">
        <v>3350</v>
      </c>
      <c r="H885" s="21" t="s">
        <v>36</v>
      </c>
      <c r="I885" s="21" t="s">
        <v>3380</v>
      </c>
      <c r="K885" s="21">
        <v>1.19824092800211E14</v>
      </c>
      <c r="M885" s="15"/>
      <c r="N885" s="15"/>
      <c r="O885" s="15"/>
    </row>
    <row r="886" ht="22.5" customHeight="1">
      <c r="A886" s="32" t="str">
        <f t="shared" si="1"/>
        <v>4/2026</v>
      </c>
      <c r="B886" s="25">
        <v>46117.70375074074</v>
      </c>
      <c r="C886" s="21" t="s">
        <v>3186</v>
      </c>
      <c r="D886" s="21" t="s">
        <v>3381</v>
      </c>
      <c r="E886" s="26" t="s">
        <v>3382</v>
      </c>
      <c r="F886" s="21" t="s">
        <v>106</v>
      </c>
      <c r="G886" s="21" t="s">
        <v>291</v>
      </c>
      <c r="H886" s="21" t="s">
        <v>20</v>
      </c>
      <c r="I886" s="21" t="s">
        <v>3383</v>
      </c>
      <c r="J886" s="21" t="s">
        <v>3190</v>
      </c>
      <c r="K886" s="21">
        <v>1.85826020700091E14</v>
      </c>
      <c r="L886" s="21">
        <v>100.0</v>
      </c>
      <c r="M886" s="15"/>
      <c r="N886" s="15"/>
      <c r="O886" s="15"/>
    </row>
    <row r="887" ht="22.5" customHeight="1">
      <c r="A887" s="32" t="str">
        <f t="shared" si="1"/>
        <v>4/2026</v>
      </c>
      <c r="B887" s="25">
        <v>46117.71384082176</v>
      </c>
      <c r="C887" s="35" t="s">
        <v>3384</v>
      </c>
      <c r="D887" s="21" t="s">
        <v>3385</v>
      </c>
      <c r="E887" s="26" t="s">
        <v>3386</v>
      </c>
      <c r="F887" s="21" t="s">
        <v>3210</v>
      </c>
      <c r="G887" s="21" t="s">
        <v>291</v>
      </c>
      <c r="H887" s="21" t="s">
        <v>20</v>
      </c>
      <c r="I887" s="21" t="s">
        <v>3387</v>
      </c>
      <c r="J887" s="21" t="s">
        <v>1624</v>
      </c>
      <c r="K887" s="21">
        <v>1.85826020700085E14</v>
      </c>
      <c r="M887" s="21" t="s">
        <v>380</v>
      </c>
      <c r="N887" s="15"/>
      <c r="O887" s="15"/>
    </row>
    <row r="888" ht="22.5" customHeight="1">
      <c r="A888" s="32" t="str">
        <f t="shared" si="1"/>
        <v>4/2026</v>
      </c>
      <c r="B888" s="25">
        <v>46117.89455795139</v>
      </c>
      <c r="C888" s="21" t="s">
        <v>320</v>
      </c>
      <c r="D888" s="21" t="s">
        <v>3388</v>
      </c>
      <c r="E888" s="26" t="s">
        <v>3389</v>
      </c>
      <c r="F888" s="21" t="s">
        <v>812</v>
      </c>
      <c r="G888" s="21" t="s">
        <v>3373</v>
      </c>
      <c r="H888" s="21" t="s">
        <v>36</v>
      </c>
      <c r="I888" s="21" t="s">
        <v>3390</v>
      </c>
      <c r="K888" s="21">
        <v>1.39824091100468E14</v>
      </c>
      <c r="M888" s="15"/>
      <c r="N888" s="15"/>
      <c r="O888" s="15"/>
    </row>
    <row r="889" ht="22.5" customHeight="1">
      <c r="A889" s="32" t="str">
        <f t="shared" si="1"/>
        <v>4/2026</v>
      </c>
      <c r="B889" s="25">
        <v>46118.70497291667</v>
      </c>
      <c r="C889" s="21" t="s">
        <v>618</v>
      </c>
      <c r="D889" s="21" t="s">
        <v>3391</v>
      </c>
      <c r="E889" s="26" t="s">
        <v>3392</v>
      </c>
      <c r="F889" s="21" t="s">
        <v>118</v>
      </c>
      <c r="G889" s="21" t="s">
        <v>3393</v>
      </c>
      <c r="H889" s="21" t="s">
        <v>36</v>
      </c>
      <c r="I889" s="21" t="s">
        <v>3394</v>
      </c>
      <c r="K889" s="21">
        <v>8.92821080500408E14</v>
      </c>
      <c r="L889" s="21">
        <v>16.0</v>
      </c>
      <c r="M889" s="15"/>
      <c r="N889" s="15"/>
      <c r="O889" s="15"/>
    </row>
    <row r="890" ht="22.5" customHeight="1">
      <c r="A890" s="32" t="str">
        <f t="shared" si="1"/>
        <v>4/2026</v>
      </c>
      <c r="B890" s="25">
        <v>46118.73317564814</v>
      </c>
      <c r="C890" s="21" t="s">
        <v>1181</v>
      </c>
      <c r="D890" s="21" t="s">
        <v>3395</v>
      </c>
      <c r="E890" s="26" t="s">
        <v>3396</v>
      </c>
      <c r="F890" s="21" t="s">
        <v>18</v>
      </c>
      <c r="G890" s="21" t="s">
        <v>3357</v>
      </c>
      <c r="H890" s="21" t="s">
        <v>36</v>
      </c>
      <c r="I890" s="21" t="s">
        <v>3397</v>
      </c>
      <c r="J890" s="21" t="s">
        <v>417</v>
      </c>
      <c r="K890" s="21">
        <v>1.19824092800158E14</v>
      </c>
      <c r="L890" s="21">
        <v>14.0</v>
      </c>
      <c r="M890" s="15"/>
      <c r="N890" s="15"/>
      <c r="O890" s="15"/>
    </row>
    <row r="891" ht="22.5" customHeight="1">
      <c r="A891" s="32" t="str">
        <f t="shared" si="1"/>
        <v>4/2026</v>
      </c>
      <c r="B891" s="25">
        <v>46118.73481538195</v>
      </c>
      <c r="C891" s="21" t="s">
        <v>239</v>
      </c>
      <c r="D891" s="21" t="s">
        <v>3398</v>
      </c>
      <c r="E891" s="26" t="s">
        <v>241</v>
      </c>
      <c r="F891" s="21" t="s">
        <v>242</v>
      </c>
      <c r="G891" s="21" t="s">
        <v>3399</v>
      </c>
      <c r="H891" s="21" t="s">
        <v>20</v>
      </c>
      <c r="I891" s="21" t="s">
        <v>3400</v>
      </c>
      <c r="K891" s="21">
        <v>1.83825082100105E14</v>
      </c>
      <c r="M891" s="15"/>
      <c r="N891" s="15"/>
      <c r="O891" s="15"/>
    </row>
    <row r="892" ht="22.5" customHeight="1">
      <c r="A892" s="32" t="str">
        <f t="shared" si="1"/>
        <v>4/2026</v>
      </c>
      <c r="B892" s="25">
        <v>46118.96764041667</v>
      </c>
      <c r="C892" s="21" t="s">
        <v>103</v>
      </c>
      <c r="D892" s="21" t="s">
        <v>3401</v>
      </c>
      <c r="E892" s="26" t="s">
        <v>3402</v>
      </c>
      <c r="F892" s="21" t="s">
        <v>106</v>
      </c>
      <c r="G892" s="21" t="s">
        <v>291</v>
      </c>
      <c r="H892" s="21" t="s">
        <v>44</v>
      </c>
      <c r="I892" s="21" t="s">
        <v>3403</v>
      </c>
      <c r="J892" s="21" t="s">
        <v>3404</v>
      </c>
      <c r="K892" s="21">
        <v>1.85826020700129E14</v>
      </c>
      <c r="M892" s="15"/>
      <c r="N892" s="15"/>
      <c r="O892" s="15"/>
    </row>
    <row r="893" ht="22.5" customHeight="1">
      <c r="A893" s="32" t="str">
        <f t="shared" si="1"/>
        <v>4/2026</v>
      </c>
      <c r="B893" s="25">
        <v>46119.606809502315</v>
      </c>
      <c r="C893" s="21" t="s">
        <v>3008</v>
      </c>
      <c r="D893" s="21" t="s">
        <v>3405</v>
      </c>
      <c r="E893" s="26" t="s">
        <v>3406</v>
      </c>
      <c r="F893" s="21" t="s">
        <v>303</v>
      </c>
      <c r="G893" s="21" t="s">
        <v>291</v>
      </c>
      <c r="H893" s="21" t="s">
        <v>721</v>
      </c>
      <c r="I893" s="21" t="s">
        <v>3407</v>
      </c>
      <c r="K893" s="21" t="s">
        <v>3408</v>
      </c>
      <c r="M893" s="15"/>
      <c r="N893" s="15"/>
      <c r="O893" s="15"/>
    </row>
    <row r="894" ht="22.5" customHeight="1">
      <c r="A894" s="32" t="str">
        <f t="shared" si="1"/>
        <v>4/2026</v>
      </c>
      <c r="B894" s="25">
        <v>46119.712545625</v>
      </c>
      <c r="C894" s="21" t="s">
        <v>408</v>
      </c>
      <c r="D894" s="21" t="s">
        <v>3409</v>
      </c>
      <c r="E894" s="26" t="s">
        <v>3410</v>
      </c>
      <c r="F894" s="21" t="s">
        <v>118</v>
      </c>
      <c r="G894" s="21" t="s">
        <v>291</v>
      </c>
      <c r="H894" s="21" t="s">
        <v>20</v>
      </c>
      <c r="I894" s="21" t="s">
        <v>3411</v>
      </c>
      <c r="J894" s="21" t="s">
        <v>3412</v>
      </c>
      <c r="K894" s="21">
        <v>1.85826020700041E14</v>
      </c>
      <c r="M894" s="15"/>
      <c r="N894" s="15"/>
      <c r="O894" s="15"/>
    </row>
    <row r="895" ht="22.5" customHeight="1">
      <c r="A895" s="32" t="str">
        <f t="shared" si="1"/>
        <v>4/2026</v>
      </c>
      <c r="B895" s="25">
        <v>46119.81774709491</v>
      </c>
      <c r="C895" s="21" t="s">
        <v>115</v>
      </c>
      <c r="D895" s="21" t="s">
        <v>1852</v>
      </c>
      <c r="E895" s="26" t="s">
        <v>1853</v>
      </c>
      <c r="F895" s="21" t="s">
        <v>118</v>
      </c>
      <c r="G895" s="21" t="s">
        <v>291</v>
      </c>
      <c r="H895" s="21" t="s">
        <v>141</v>
      </c>
      <c r="I895" s="21" t="s">
        <v>3413</v>
      </c>
      <c r="J895" s="21" t="s">
        <v>3414</v>
      </c>
      <c r="K895" s="21" t="s">
        <v>122</v>
      </c>
      <c r="M895" s="15"/>
      <c r="N895" s="15"/>
      <c r="O895" s="15"/>
    </row>
    <row r="896" ht="22.5" customHeight="1">
      <c r="A896" s="32" t="str">
        <f t="shared" si="1"/>
        <v>4/2026</v>
      </c>
      <c r="B896" s="25">
        <v>46119.819266493054</v>
      </c>
      <c r="C896" s="21" t="s">
        <v>115</v>
      </c>
      <c r="D896" s="21" t="s">
        <v>3415</v>
      </c>
      <c r="E896" s="26" t="s">
        <v>3416</v>
      </c>
      <c r="F896" s="21" t="s">
        <v>118</v>
      </c>
      <c r="G896" s="21" t="s">
        <v>3350</v>
      </c>
      <c r="H896" s="21" t="s">
        <v>36</v>
      </c>
      <c r="I896" s="21" t="s">
        <v>3417</v>
      </c>
      <c r="J896" s="21" t="s">
        <v>965</v>
      </c>
      <c r="K896" s="21" t="s">
        <v>122</v>
      </c>
      <c r="M896" s="15"/>
      <c r="N896" s="15"/>
      <c r="O896" s="15"/>
    </row>
    <row r="897" ht="22.5" customHeight="1">
      <c r="A897" s="32" t="str">
        <f t="shared" si="1"/>
        <v>4/2026</v>
      </c>
      <c r="B897" s="25">
        <v>46119.82036894676</v>
      </c>
      <c r="C897" s="21" t="s">
        <v>115</v>
      </c>
      <c r="D897" s="21" t="s">
        <v>3418</v>
      </c>
      <c r="E897" s="26" t="s">
        <v>3419</v>
      </c>
      <c r="F897" s="21" t="s">
        <v>118</v>
      </c>
      <c r="G897" s="21" t="s">
        <v>3350</v>
      </c>
      <c r="H897" s="21" t="s">
        <v>36</v>
      </c>
      <c r="I897" s="21" t="s">
        <v>3420</v>
      </c>
      <c r="J897" s="21" t="s">
        <v>965</v>
      </c>
      <c r="K897" s="21" t="s">
        <v>122</v>
      </c>
      <c r="M897" s="15"/>
      <c r="N897" s="15"/>
      <c r="O897" s="15"/>
    </row>
    <row r="898" ht="22.5" customHeight="1">
      <c r="A898" s="32" t="str">
        <f t="shared" si="1"/>
        <v>4/2026</v>
      </c>
      <c r="B898" s="25">
        <v>46119.82140023148</v>
      </c>
      <c r="C898" s="21" t="s">
        <v>115</v>
      </c>
      <c r="D898" s="21" t="s">
        <v>1279</v>
      </c>
      <c r="E898" s="26" t="s">
        <v>3421</v>
      </c>
      <c r="F898" s="21" t="s">
        <v>118</v>
      </c>
      <c r="G898" s="21" t="s">
        <v>3350</v>
      </c>
      <c r="H898" s="21" t="s">
        <v>36</v>
      </c>
      <c r="I898" s="21" t="s">
        <v>3422</v>
      </c>
      <c r="J898" s="21" t="s">
        <v>965</v>
      </c>
      <c r="K898" s="21" t="s">
        <v>122</v>
      </c>
      <c r="M898" s="15"/>
      <c r="N898" s="15"/>
      <c r="O898" s="15"/>
    </row>
    <row r="899" ht="22.5" customHeight="1">
      <c r="A899" s="32" t="str">
        <f t="shared" si="1"/>
        <v>4/2026</v>
      </c>
      <c r="B899" s="25">
        <v>46119.82254652778</v>
      </c>
      <c r="C899" s="21" t="s">
        <v>115</v>
      </c>
      <c r="D899" s="21" t="s">
        <v>3423</v>
      </c>
      <c r="E899" s="26" t="s">
        <v>3424</v>
      </c>
      <c r="F899" s="21" t="s">
        <v>118</v>
      </c>
      <c r="G899" s="21" t="s">
        <v>3425</v>
      </c>
      <c r="H899" s="21" t="s">
        <v>36</v>
      </c>
      <c r="I899" s="21" t="s">
        <v>3426</v>
      </c>
      <c r="J899" s="21" t="s">
        <v>965</v>
      </c>
      <c r="K899" s="21" t="s">
        <v>122</v>
      </c>
      <c r="M899" s="15"/>
      <c r="N899" s="15"/>
      <c r="O899" s="15"/>
    </row>
    <row r="900" ht="22.5" customHeight="1">
      <c r="A900" s="32" t="str">
        <f t="shared" si="1"/>
        <v>4/2026</v>
      </c>
      <c r="B900" s="25">
        <v>46119.92767553241</v>
      </c>
      <c r="C900" s="21" t="s">
        <v>56</v>
      </c>
      <c r="D900" s="21" t="s">
        <v>2865</v>
      </c>
      <c r="E900" s="26" t="s">
        <v>3427</v>
      </c>
      <c r="F900" s="21" t="s">
        <v>18</v>
      </c>
      <c r="G900" s="21" t="s">
        <v>291</v>
      </c>
      <c r="H900" s="21" t="s">
        <v>20</v>
      </c>
      <c r="I900" s="21" t="s">
        <v>3428</v>
      </c>
      <c r="K900" s="21" t="s">
        <v>3429</v>
      </c>
      <c r="M900" s="15"/>
      <c r="N900" s="15"/>
      <c r="O900" s="15"/>
    </row>
    <row r="901" ht="22.5" customHeight="1">
      <c r="A901" s="32" t="str">
        <f t="shared" si="1"/>
        <v>4/2026</v>
      </c>
      <c r="B901" s="25">
        <v>46120.284083425926</v>
      </c>
      <c r="C901" s="21" t="s">
        <v>308</v>
      </c>
      <c r="D901" s="21" t="s">
        <v>3430</v>
      </c>
      <c r="E901" s="26" t="s">
        <v>3431</v>
      </c>
      <c r="F901" s="21" t="s">
        <v>106</v>
      </c>
      <c r="G901" s="21" t="s">
        <v>3432</v>
      </c>
      <c r="H901" s="21" t="s">
        <v>36</v>
      </c>
      <c r="I901" s="21" t="s">
        <v>3433</v>
      </c>
      <c r="K901" s="21">
        <v>1.19824092800218E14</v>
      </c>
      <c r="M901" s="15"/>
      <c r="N901" s="15"/>
      <c r="O901" s="15"/>
    </row>
    <row r="902" ht="22.5" customHeight="1">
      <c r="A902" s="32" t="str">
        <f t="shared" si="1"/>
        <v>4/2026</v>
      </c>
      <c r="B902" s="25">
        <v>46120.42352541667</v>
      </c>
      <c r="C902" s="21" t="s">
        <v>456</v>
      </c>
      <c r="D902" s="21" t="s">
        <v>3434</v>
      </c>
      <c r="E902" s="26" t="s">
        <v>3435</v>
      </c>
      <c r="F902" s="21" t="s">
        <v>458</v>
      </c>
      <c r="G902" s="21" t="s">
        <v>291</v>
      </c>
      <c r="H902" s="21" t="s">
        <v>44</v>
      </c>
      <c r="I902" s="21" t="s">
        <v>3436</v>
      </c>
      <c r="K902" s="21">
        <v>1.85825082200096E14</v>
      </c>
      <c r="M902" s="15"/>
      <c r="N902" s="15"/>
      <c r="O902" s="15"/>
    </row>
    <row r="903" ht="22.5" customHeight="1">
      <c r="A903" s="32" t="str">
        <f t="shared" si="1"/>
        <v>4/2026</v>
      </c>
      <c r="B903" s="25">
        <v>46120.4808334375</v>
      </c>
      <c r="C903" s="21" t="s">
        <v>103</v>
      </c>
      <c r="D903" s="21" t="s">
        <v>3437</v>
      </c>
      <c r="E903" s="21">
        <v>9.87299608E8</v>
      </c>
      <c r="F903" s="21" t="s">
        <v>106</v>
      </c>
      <c r="G903" s="21" t="s">
        <v>3373</v>
      </c>
      <c r="H903" s="21" t="s">
        <v>36</v>
      </c>
      <c r="I903" s="21" t="s">
        <v>3438</v>
      </c>
      <c r="J903" s="21" t="s">
        <v>2741</v>
      </c>
      <c r="K903" s="21">
        <v>1.39823112300179E14</v>
      </c>
      <c r="M903" s="15"/>
      <c r="N903" s="15"/>
      <c r="O903" s="15"/>
    </row>
    <row r="904" ht="22.5" customHeight="1">
      <c r="A904" s="32" t="str">
        <f t="shared" si="1"/>
        <v>4/2026</v>
      </c>
      <c r="B904" s="25">
        <v>46120.492436863424</v>
      </c>
      <c r="C904" s="21" t="s">
        <v>32</v>
      </c>
      <c r="D904" s="21" t="s">
        <v>3439</v>
      </c>
      <c r="E904" s="21" t="s">
        <v>3440</v>
      </c>
      <c r="F904" s="21" t="s">
        <v>18</v>
      </c>
      <c r="G904" s="21" t="s">
        <v>3441</v>
      </c>
      <c r="H904" s="21" t="s">
        <v>141</v>
      </c>
      <c r="I904" s="29" t="s">
        <v>3442</v>
      </c>
      <c r="K904" s="21" t="s">
        <v>1609</v>
      </c>
      <c r="M904" s="15"/>
      <c r="N904" s="15"/>
      <c r="O904" s="15"/>
    </row>
    <row r="905" ht="22.5" customHeight="1">
      <c r="A905" s="32" t="str">
        <f t="shared" si="1"/>
        <v>4/2026</v>
      </c>
      <c r="B905" s="25">
        <v>46120.69609751157</v>
      </c>
      <c r="C905" s="21" t="s">
        <v>1181</v>
      </c>
      <c r="D905" s="21" t="s">
        <v>2765</v>
      </c>
      <c r="E905" s="26" t="s">
        <v>3443</v>
      </c>
      <c r="F905" s="21" t="s">
        <v>18</v>
      </c>
      <c r="G905" s="21" t="s">
        <v>3357</v>
      </c>
      <c r="H905" s="21" t="s">
        <v>36</v>
      </c>
      <c r="I905" s="21" t="s">
        <v>3444</v>
      </c>
      <c r="J905" s="21" t="s">
        <v>417</v>
      </c>
      <c r="K905" s="21">
        <v>1.19824092800373E14</v>
      </c>
      <c r="L905" s="21">
        <v>23.0</v>
      </c>
      <c r="M905" s="15"/>
      <c r="N905" s="15"/>
      <c r="O905" s="15"/>
    </row>
    <row r="906" ht="22.5" customHeight="1">
      <c r="A906" s="32" t="str">
        <f t="shared" si="1"/>
        <v>4/2026</v>
      </c>
      <c r="B906" s="25">
        <v>46120.69833828704</v>
      </c>
      <c r="C906" s="21" t="s">
        <v>1181</v>
      </c>
      <c r="D906" s="21" t="s">
        <v>3445</v>
      </c>
      <c r="E906" s="26" t="s">
        <v>3446</v>
      </c>
      <c r="F906" s="21" t="s">
        <v>18</v>
      </c>
      <c r="G906" s="21" t="s">
        <v>3357</v>
      </c>
      <c r="H906" s="21" t="s">
        <v>36</v>
      </c>
      <c r="I906" s="21" t="s">
        <v>3447</v>
      </c>
      <c r="J906" s="21" t="s">
        <v>3448</v>
      </c>
      <c r="K906" s="21">
        <v>1.1982409280084E13</v>
      </c>
      <c r="L906" s="21">
        <v>9.0</v>
      </c>
      <c r="M906" s="15"/>
      <c r="N906" s="15"/>
      <c r="O906" s="15"/>
    </row>
    <row r="907" ht="22.5" customHeight="1">
      <c r="A907" s="32" t="str">
        <f t="shared" si="1"/>
        <v>4/2026</v>
      </c>
      <c r="B907" s="25">
        <v>46120.70818872685</v>
      </c>
      <c r="C907" s="21" t="s">
        <v>214</v>
      </c>
      <c r="D907" s="21" t="s">
        <v>3449</v>
      </c>
      <c r="E907" s="26" t="s">
        <v>3450</v>
      </c>
      <c r="F907" s="21" t="s">
        <v>18</v>
      </c>
      <c r="G907" s="21" t="s">
        <v>3451</v>
      </c>
      <c r="H907" s="21" t="s">
        <v>44</v>
      </c>
      <c r="I907" s="21" t="s">
        <v>3452</v>
      </c>
      <c r="K907" s="21">
        <v>1.84825082100203E14</v>
      </c>
      <c r="M907" s="15"/>
      <c r="N907" s="15"/>
      <c r="O907" s="15"/>
    </row>
    <row r="908" ht="22.5" customHeight="1">
      <c r="A908" s="32" t="str">
        <f t="shared" si="1"/>
        <v>4/2026</v>
      </c>
      <c r="B908" s="25">
        <v>46120.778956423615</v>
      </c>
      <c r="C908" s="21" t="s">
        <v>32</v>
      </c>
      <c r="D908" s="21" t="s">
        <v>3453</v>
      </c>
      <c r="E908" s="21" t="s">
        <v>3454</v>
      </c>
      <c r="F908" s="21" t="s">
        <v>18</v>
      </c>
      <c r="G908" s="21" t="s">
        <v>3432</v>
      </c>
      <c r="H908" s="21" t="s">
        <v>36</v>
      </c>
      <c r="I908" s="21" t="s">
        <v>3455</v>
      </c>
      <c r="K908" s="21">
        <v>1.3982410280055E14</v>
      </c>
      <c r="M908" s="15"/>
      <c r="N908" s="15"/>
      <c r="O908" s="15"/>
    </row>
    <row r="909" ht="22.5" customHeight="1">
      <c r="A909" s="32" t="str">
        <f t="shared" si="1"/>
        <v>4/2026</v>
      </c>
      <c r="B909" s="25">
        <v>46120.85258665509</v>
      </c>
      <c r="C909" s="21" t="s">
        <v>3186</v>
      </c>
      <c r="D909" s="21" t="s">
        <v>1041</v>
      </c>
      <c r="E909" s="26" t="s">
        <v>1042</v>
      </c>
      <c r="F909" s="21" t="s">
        <v>18</v>
      </c>
      <c r="G909" s="21" t="s">
        <v>291</v>
      </c>
      <c r="H909" s="21" t="s">
        <v>2569</v>
      </c>
      <c r="I909" s="21" t="s">
        <v>3456</v>
      </c>
      <c r="J909" s="21" t="s">
        <v>3457</v>
      </c>
      <c r="K909" s="21">
        <v>1.85826020700058E14</v>
      </c>
      <c r="M909" s="15"/>
      <c r="N909" s="15"/>
      <c r="O909" s="15"/>
    </row>
    <row r="910" ht="22.5" customHeight="1">
      <c r="A910" s="32" t="str">
        <f t="shared" si="1"/>
        <v>4/2026</v>
      </c>
      <c r="B910" s="25">
        <v>46120.87439842593</v>
      </c>
      <c r="C910" s="21" t="s">
        <v>408</v>
      </c>
      <c r="D910" s="21" t="s">
        <v>3458</v>
      </c>
      <c r="E910" s="26" t="s">
        <v>3459</v>
      </c>
      <c r="F910" s="21" t="s">
        <v>118</v>
      </c>
      <c r="G910" s="21" t="s">
        <v>3357</v>
      </c>
      <c r="H910" s="21" t="s">
        <v>36</v>
      </c>
      <c r="I910" s="21" t="s">
        <v>3460</v>
      </c>
      <c r="K910" s="21">
        <v>1.198210805002E14</v>
      </c>
      <c r="M910" s="15"/>
      <c r="N910" s="15"/>
      <c r="O910" s="15"/>
    </row>
    <row r="911" ht="22.5" customHeight="1">
      <c r="A911" s="32" t="str">
        <f t="shared" si="1"/>
        <v>4/2026</v>
      </c>
      <c r="B911" s="25">
        <v>46120.970076840276</v>
      </c>
      <c r="C911" s="21" t="s">
        <v>132</v>
      </c>
      <c r="D911" s="21" t="s">
        <v>3461</v>
      </c>
      <c r="E911" s="26" t="s">
        <v>3462</v>
      </c>
      <c r="F911" s="21" t="s">
        <v>18</v>
      </c>
      <c r="G911" s="21" t="s">
        <v>291</v>
      </c>
      <c r="H911" s="21" t="s">
        <v>44</v>
      </c>
      <c r="I911" s="21" t="s">
        <v>3463</v>
      </c>
      <c r="K911" s="21">
        <v>1.85826020700073E14</v>
      </c>
      <c r="M911" s="15"/>
      <c r="N911" s="15"/>
      <c r="O911" s="15"/>
    </row>
    <row r="912" ht="22.5" customHeight="1">
      <c r="A912" s="32" t="str">
        <f t="shared" si="1"/>
        <v>4/2026</v>
      </c>
      <c r="B912" s="25">
        <v>46120.977319224534</v>
      </c>
      <c r="C912" s="21" t="s">
        <v>132</v>
      </c>
      <c r="D912" s="21" t="s">
        <v>3464</v>
      </c>
      <c r="E912" s="26" t="s">
        <v>3465</v>
      </c>
      <c r="F912" s="21" t="s">
        <v>18</v>
      </c>
      <c r="G912" s="21" t="s">
        <v>291</v>
      </c>
      <c r="H912" s="21" t="s">
        <v>44</v>
      </c>
      <c r="I912" s="21" t="s">
        <v>3466</v>
      </c>
      <c r="K912" s="21">
        <v>1.85826020700146E14</v>
      </c>
      <c r="M912" s="15"/>
      <c r="N912" s="15"/>
      <c r="O912" s="15"/>
    </row>
    <row r="913" ht="22.5" customHeight="1">
      <c r="A913" s="32" t="str">
        <f t="shared" si="1"/>
        <v>4/2026</v>
      </c>
      <c r="B913" s="25">
        <v>46120.98372224537</v>
      </c>
      <c r="C913" s="21" t="s">
        <v>132</v>
      </c>
      <c r="D913" s="21" t="s">
        <v>3467</v>
      </c>
      <c r="E913" s="26" t="s">
        <v>3468</v>
      </c>
      <c r="F913" s="21" t="s">
        <v>18</v>
      </c>
      <c r="G913" s="21" t="s">
        <v>3469</v>
      </c>
      <c r="H913" s="21" t="s">
        <v>20</v>
      </c>
      <c r="I913" s="21" t="s">
        <v>3470</v>
      </c>
      <c r="K913" s="21">
        <v>1.86825082100044E14</v>
      </c>
      <c r="M913" s="15"/>
      <c r="N913" s="15"/>
      <c r="O913" s="15"/>
    </row>
    <row r="914" ht="22.5" customHeight="1">
      <c r="A914" s="32" t="str">
        <f t="shared" si="1"/>
        <v>4/2026</v>
      </c>
      <c r="B914" s="25">
        <v>46120.988369583334</v>
      </c>
      <c r="C914" s="21" t="s">
        <v>132</v>
      </c>
      <c r="D914" s="21" t="s">
        <v>3471</v>
      </c>
      <c r="E914" s="26" t="s">
        <v>3472</v>
      </c>
      <c r="F914" s="21" t="s">
        <v>18</v>
      </c>
      <c r="G914" s="21" t="s">
        <v>291</v>
      </c>
      <c r="H914" s="21" t="s">
        <v>20</v>
      </c>
      <c r="I914" s="21" t="s">
        <v>3473</v>
      </c>
      <c r="K914" s="21">
        <v>1.8582602070003E14</v>
      </c>
      <c r="M914" s="15"/>
      <c r="N914" s="15"/>
      <c r="O914" s="15"/>
    </row>
    <row r="915" ht="22.5" customHeight="1">
      <c r="A915" s="32" t="str">
        <f t="shared" si="1"/>
        <v>4/2026</v>
      </c>
      <c r="B915" s="25">
        <v>46121.44464674768</v>
      </c>
      <c r="C915" s="21" t="s">
        <v>3474</v>
      </c>
      <c r="D915" s="21" t="s">
        <v>3475</v>
      </c>
      <c r="E915" s="26" t="s">
        <v>3476</v>
      </c>
      <c r="F915" s="21" t="s">
        <v>3477</v>
      </c>
      <c r="G915" s="21" t="s">
        <v>3469</v>
      </c>
      <c r="H915" s="21" t="s">
        <v>44</v>
      </c>
      <c r="I915" s="21" t="s">
        <v>3478</v>
      </c>
      <c r="K915" s="21" t="s">
        <v>3479</v>
      </c>
      <c r="L915" s="21">
        <v>15.0</v>
      </c>
      <c r="M915" s="15"/>
      <c r="N915" s="15"/>
      <c r="O915" s="15"/>
    </row>
    <row r="916" ht="22.5" customHeight="1">
      <c r="A916" s="32" t="str">
        <f t="shared" si="1"/>
        <v>4/2026</v>
      </c>
      <c r="B916" s="25">
        <v>46121.45276741898</v>
      </c>
      <c r="C916" s="21" t="s">
        <v>169</v>
      </c>
      <c r="D916" s="21" t="s">
        <v>3480</v>
      </c>
      <c r="E916" s="26" t="s">
        <v>3481</v>
      </c>
      <c r="F916" s="21" t="s">
        <v>118</v>
      </c>
      <c r="G916" s="21" t="s">
        <v>3357</v>
      </c>
      <c r="H916" s="21" t="s">
        <v>36</v>
      </c>
      <c r="I916" s="21" t="s">
        <v>3482</v>
      </c>
      <c r="J916" s="21" t="s">
        <v>2708</v>
      </c>
      <c r="K916" s="21">
        <v>1.19821080500461E14</v>
      </c>
      <c r="L916" s="21">
        <v>25.0</v>
      </c>
      <c r="M916" s="15"/>
      <c r="N916" s="15"/>
      <c r="O916" s="15"/>
    </row>
    <row r="917" ht="22.5" customHeight="1">
      <c r="A917" s="32" t="str">
        <f t="shared" si="1"/>
        <v>4/2026</v>
      </c>
      <c r="B917" s="25">
        <v>46121.45883195601</v>
      </c>
      <c r="C917" s="21" t="s">
        <v>408</v>
      </c>
      <c r="D917" s="21" t="s">
        <v>3483</v>
      </c>
      <c r="E917" s="26" t="s">
        <v>3484</v>
      </c>
      <c r="F917" s="21" t="s">
        <v>118</v>
      </c>
      <c r="G917" s="21" t="s">
        <v>3432</v>
      </c>
      <c r="H917" s="21" t="s">
        <v>36</v>
      </c>
      <c r="I917" s="30" t="s">
        <v>3485</v>
      </c>
      <c r="K917" s="21">
        <v>1.39823112300458E14</v>
      </c>
      <c r="M917" s="15"/>
      <c r="N917" s="15"/>
      <c r="O917" s="15"/>
    </row>
    <row r="918" ht="22.5" customHeight="1">
      <c r="A918" s="32" t="str">
        <f t="shared" si="1"/>
        <v>4/2026</v>
      </c>
      <c r="B918" s="25">
        <v>46121.46748046296</v>
      </c>
      <c r="C918" s="21" t="s">
        <v>408</v>
      </c>
      <c r="D918" s="21" t="s">
        <v>3486</v>
      </c>
      <c r="E918" s="26" t="s">
        <v>3487</v>
      </c>
      <c r="F918" s="21" t="s">
        <v>118</v>
      </c>
      <c r="G918" s="21" t="s">
        <v>3393</v>
      </c>
      <c r="H918" s="21" t="s">
        <v>36</v>
      </c>
      <c r="I918" s="21" t="s">
        <v>3488</v>
      </c>
      <c r="K918" s="21">
        <v>8.92821080500008E14</v>
      </c>
      <c r="M918" s="15"/>
      <c r="N918" s="15"/>
      <c r="O918" s="15"/>
    </row>
    <row r="919" ht="22.5" customHeight="1">
      <c r="A919" s="32" t="str">
        <f t="shared" si="1"/>
        <v>4/2026</v>
      </c>
      <c r="B919" s="25">
        <v>46121.567858912036</v>
      </c>
      <c r="C919" s="21" t="s">
        <v>308</v>
      </c>
      <c r="D919" s="21" t="s">
        <v>3489</v>
      </c>
      <c r="E919" s="26" t="s">
        <v>3490</v>
      </c>
      <c r="F919" s="21" t="s">
        <v>106</v>
      </c>
      <c r="G919" s="21" t="s">
        <v>3350</v>
      </c>
      <c r="H919" s="21" t="s">
        <v>36</v>
      </c>
      <c r="I919" s="21" t="s">
        <v>3491</v>
      </c>
      <c r="K919" s="21">
        <v>8.92824103000163E14</v>
      </c>
      <c r="M919" s="15"/>
      <c r="N919" s="15"/>
      <c r="O919" s="15"/>
    </row>
    <row r="920" ht="22.5" customHeight="1">
      <c r="A920" s="32" t="str">
        <f t="shared" si="1"/>
        <v>4/2026</v>
      </c>
      <c r="B920" s="25">
        <v>46121.72588442129</v>
      </c>
      <c r="C920" s="21" t="s">
        <v>103</v>
      </c>
      <c r="D920" s="21" t="s">
        <v>3492</v>
      </c>
      <c r="E920" s="26" t="s">
        <v>3493</v>
      </c>
      <c r="F920" s="21" t="s">
        <v>106</v>
      </c>
      <c r="G920" s="21" t="s">
        <v>3432</v>
      </c>
      <c r="H920" s="21" t="s">
        <v>36</v>
      </c>
      <c r="I920" s="21" t="s">
        <v>3494</v>
      </c>
      <c r="J920" s="21" t="s">
        <v>565</v>
      </c>
      <c r="K920" s="21" t="s">
        <v>122</v>
      </c>
      <c r="M920" s="15"/>
      <c r="N920" s="15"/>
      <c r="O920" s="15"/>
    </row>
    <row r="921" ht="22.5" customHeight="1">
      <c r="A921" s="32" t="str">
        <f t="shared" si="1"/>
        <v>4/2026</v>
      </c>
      <c r="B921" s="25">
        <v>46121.77350436343</v>
      </c>
      <c r="C921" s="21" t="s">
        <v>320</v>
      </c>
      <c r="D921" s="21" t="s">
        <v>3495</v>
      </c>
      <c r="E921" s="26" t="s">
        <v>3484</v>
      </c>
      <c r="F921" s="21" t="s">
        <v>118</v>
      </c>
      <c r="G921" s="21" t="s">
        <v>3357</v>
      </c>
      <c r="H921" s="21" t="s">
        <v>36</v>
      </c>
      <c r="I921" s="21" t="s">
        <v>3496</v>
      </c>
      <c r="K921" s="21">
        <v>1.19824092800136E14</v>
      </c>
      <c r="M921" s="15"/>
      <c r="N921" s="15"/>
      <c r="O921" s="15"/>
    </row>
    <row r="922" ht="22.5" customHeight="1">
      <c r="A922" s="32" t="str">
        <f t="shared" si="1"/>
        <v>4/2026</v>
      </c>
      <c r="B922" s="25">
        <v>46121.853076747684</v>
      </c>
      <c r="C922" s="21" t="s">
        <v>1181</v>
      </c>
      <c r="D922" s="21" t="s">
        <v>3497</v>
      </c>
      <c r="E922" s="26" t="s">
        <v>3498</v>
      </c>
      <c r="F922" s="21" t="s">
        <v>18</v>
      </c>
      <c r="G922" s="21" t="s">
        <v>3357</v>
      </c>
      <c r="H922" s="21" t="s">
        <v>141</v>
      </c>
      <c r="I922" s="21" t="s">
        <v>3499</v>
      </c>
      <c r="J922" s="21" t="s">
        <v>417</v>
      </c>
      <c r="K922" s="21" t="s">
        <v>55</v>
      </c>
      <c r="L922" s="21">
        <v>18.0</v>
      </c>
      <c r="M922" s="15"/>
      <c r="N922" s="15"/>
      <c r="O922" s="15"/>
    </row>
    <row r="923" ht="22.5" customHeight="1">
      <c r="A923" s="32" t="str">
        <f t="shared" si="1"/>
        <v>4/2026</v>
      </c>
      <c r="B923" s="25">
        <v>46121.85555921296</v>
      </c>
      <c r="C923" s="21" t="s">
        <v>1181</v>
      </c>
      <c r="D923" s="21" t="s">
        <v>327</v>
      </c>
      <c r="E923" s="26" t="s">
        <v>3500</v>
      </c>
      <c r="F923" s="21" t="s">
        <v>18</v>
      </c>
      <c r="G923" s="21" t="s">
        <v>3501</v>
      </c>
      <c r="H923" s="21" t="s">
        <v>36</v>
      </c>
      <c r="I923" s="21" t="s">
        <v>3502</v>
      </c>
      <c r="J923" s="21" t="s">
        <v>3503</v>
      </c>
      <c r="K923" s="21">
        <v>1.39822120800369E14</v>
      </c>
      <c r="L923" s="21">
        <v>17.0</v>
      </c>
      <c r="M923" s="15"/>
      <c r="N923" s="15"/>
      <c r="O923" s="15"/>
    </row>
    <row r="924" ht="22.5" customHeight="1">
      <c r="A924" s="32" t="str">
        <f t="shared" si="1"/>
        <v>4/2026</v>
      </c>
      <c r="B924" s="25">
        <v>46121.85816604167</v>
      </c>
      <c r="C924" s="21" t="s">
        <v>115</v>
      </c>
      <c r="D924" s="21" t="s">
        <v>2649</v>
      </c>
      <c r="E924" s="26" t="s">
        <v>3504</v>
      </c>
      <c r="F924" s="21" t="s">
        <v>118</v>
      </c>
      <c r="G924" s="21" t="s">
        <v>3373</v>
      </c>
      <c r="H924" s="21" t="s">
        <v>36</v>
      </c>
      <c r="I924" s="21" t="s">
        <v>3505</v>
      </c>
      <c r="J924" s="21" t="s">
        <v>965</v>
      </c>
      <c r="K924" s="21" t="s">
        <v>122</v>
      </c>
      <c r="L924" s="21">
        <v>27.0</v>
      </c>
      <c r="M924" s="15"/>
      <c r="N924" s="15"/>
      <c r="O924" s="15"/>
    </row>
    <row r="925" ht="22.5" customHeight="1">
      <c r="A925" s="32" t="str">
        <f t="shared" si="1"/>
        <v>4/2026</v>
      </c>
      <c r="B925" s="25">
        <v>46121.86003616898</v>
      </c>
      <c r="C925" s="21" t="s">
        <v>115</v>
      </c>
      <c r="D925" s="21" t="s">
        <v>3506</v>
      </c>
      <c r="E925" s="26" t="s">
        <v>3507</v>
      </c>
      <c r="F925" s="21" t="s">
        <v>118</v>
      </c>
      <c r="G925" s="21" t="s">
        <v>3469</v>
      </c>
      <c r="H925" s="21" t="s">
        <v>141</v>
      </c>
      <c r="I925" s="21" t="s">
        <v>3508</v>
      </c>
      <c r="J925" s="21" t="s">
        <v>3509</v>
      </c>
      <c r="K925" s="21" t="s">
        <v>122</v>
      </c>
      <c r="M925" s="15"/>
      <c r="N925" s="15"/>
      <c r="O925" s="15"/>
    </row>
    <row r="926" ht="22.5" customHeight="1">
      <c r="A926" s="32" t="str">
        <f t="shared" si="1"/>
        <v>4/2026</v>
      </c>
      <c r="B926" s="25">
        <v>46122.38649371528</v>
      </c>
      <c r="C926" s="21" t="s">
        <v>3008</v>
      </c>
      <c r="D926" s="21" t="s">
        <v>3510</v>
      </c>
      <c r="E926" s="26" t="s">
        <v>3511</v>
      </c>
      <c r="F926" s="21" t="s">
        <v>303</v>
      </c>
      <c r="G926" s="21" t="s">
        <v>291</v>
      </c>
      <c r="H926" s="21" t="s">
        <v>44</v>
      </c>
      <c r="I926" s="21" t="s">
        <v>3512</v>
      </c>
      <c r="K926" s="21">
        <v>1.8582602070004E13</v>
      </c>
      <c r="M926" s="15"/>
      <c r="N926" s="15"/>
      <c r="O926" s="15"/>
    </row>
    <row r="927" ht="22.5" customHeight="1">
      <c r="A927" s="32" t="str">
        <f t="shared" si="1"/>
        <v>4/2026</v>
      </c>
      <c r="B927" s="25">
        <v>46122.44963899306</v>
      </c>
      <c r="C927" s="21" t="s">
        <v>3008</v>
      </c>
      <c r="D927" s="21" t="s">
        <v>3513</v>
      </c>
      <c r="E927" s="26" t="s">
        <v>3514</v>
      </c>
      <c r="F927" s="21" t="s">
        <v>1887</v>
      </c>
      <c r="G927" s="21" t="s">
        <v>3350</v>
      </c>
      <c r="H927" s="21" t="s">
        <v>36</v>
      </c>
      <c r="I927" s="21" t="s">
        <v>3515</v>
      </c>
      <c r="K927" s="21">
        <v>1.19813072500008E14</v>
      </c>
      <c r="L927" s="21">
        <v>35.0</v>
      </c>
      <c r="M927" s="15"/>
      <c r="N927" s="15"/>
      <c r="O927" s="15"/>
    </row>
    <row r="928" ht="22.5" customHeight="1">
      <c r="A928" s="32" t="str">
        <f t="shared" si="1"/>
        <v>4/2026</v>
      </c>
      <c r="B928" s="25">
        <v>46122.67835914352</v>
      </c>
      <c r="C928" s="21" t="s">
        <v>1181</v>
      </c>
      <c r="D928" s="21" t="s">
        <v>3516</v>
      </c>
      <c r="E928" s="26" t="s">
        <v>3517</v>
      </c>
      <c r="F928" s="21" t="s">
        <v>18</v>
      </c>
      <c r="G928" s="21" t="s">
        <v>3501</v>
      </c>
      <c r="H928" s="21" t="s">
        <v>36</v>
      </c>
      <c r="I928" s="21" t="s">
        <v>3518</v>
      </c>
      <c r="J928" s="21" t="s">
        <v>3519</v>
      </c>
      <c r="K928" s="21">
        <v>1.39822120800293E14</v>
      </c>
      <c r="L928" s="21">
        <v>27.0</v>
      </c>
      <c r="M928" s="15"/>
      <c r="N928" s="15"/>
      <c r="O928" s="15"/>
    </row>
    <row r="929" ht="22.5" customHeight="1">
      <c r="A929" s="32" t="str">
        <f t="shared" si="1"/>
        <v>4/2026</v>
      </c>
      <c r="B929" s="25">
        <v>46122.71771391203</v>
      </c>
      <c r="C929" s="21" t="s">
        <v>214</v>
      </c>
      <c r="D929" s="21" t="s">
        <v>758</v>
      </c>
      <c r="E929" s="26" t="s">
        <v>3520</v>
      </c>
      <c r="F929" s="21" t="s">
        <v>18</v>
      </c>
      <c r="G929" s="21" t="s">
        <v>3373</v>
      </c>
      <c r="H929" s="21" t="s">
        <v>36</v>
      </c>
      <c r="I929" s="21" t="s">
        <v>3521</v>
      </c>
      <c r="J929" s="21" t="s">
        <v>2343</v>
      </c>
      <c r="K929" s="21">
        <v>1.3982410280063E14</v>
      </c>
      <c r="M929" s="15"/>
      <c r="N929" s="15"/>
      <c r="O929" s="15"/>
    </row>
    <row r="930" ht="22.5" customHeight="1">
      <c r="A930" s="32" t="str">
        <f t="shared" si="1"/>
        <v>4/2026</v>
      </c>
      <c r="B930" s="25">
        <v>46122.75510384259</v>
      </c>
      <c r="C930" s="21" t="s">
        <v>1181</v>
      </c>
      <c r="D930" s="21" t="s">
        <v>3522</v>
      </c>
      <c r="E930" s="26" t="s">
        <v>3523</v>
      </c>
      <c r="F930" s="21" t="s">
        <v>18</v>
      </c>
      <c r="G930" s="21" t="s">
        <v>3373</v>
      </c>
      <c r="H930" s="21" t="s">
        <v>36</v>
      </c>
      <c r="I930" s="21" t="s">
        <v>3524</v>
      </c>
      <c r="J930" s="21" t="s">
        <v>3448</v>
      </c>
      <c r="K930" s="21">
        <v>1.39824092700553E14</v>
      </c>
      <c r="L930" s="21">
        <v>22.0</v>
      </c>
      <c r="M930" s="15"/>
      <c r="N930" s="15"/>
      <c r="O930" s="15"/>
    </row>
    <row r="931" ht="22.5" customHeight="1">
      <c r="A931" s="32" t="str">
        <f t="shared" si="1"/>
        <v>4/2026</v>
      </c>
      <c r="B931" s="25">
        <v>46122.756644016205</v>
      </c>
      <c r="C931" s="21" t="s">
        <v>1181</v>
      </c>
      <c r="D931" s="21" t="s">
        <v>3525</v>
      </c>
      <c r="E931" s="26" t="s">
        <v>3526</v>
      </c>
      <c r="F931" s="21" t="s">
        <v>18</v>
      </c>
      <c r="G931" s="21" t="s">
        <v>3357</v>
      </c>
      <c r="H931" s="21" t="s">
        <v>36</v>
      </c>
      <c r="I931" s="21" t="s">
        <v>3527</v>
      </c>
      <c r="J931" s="21" t="s">
        <v>3448</v>
      </c>
      <c r="K931" s="21">
        <v>1.19821080500401E14</v>
      </c>
      <c r="L931" s="21">
        <v>23.0</v>
      </c>
      <c r="M931" s="15"/>
      <c r="N931" s="15"/>
      <c r="O931" s="15"/>
    </row>
    <row r="932" ht="22.5" customHeight="1">
      <c r="A932" s="32" t="str">
        <f t="shared" si="1"/>
        <v>4/2026</v>
      </c>
      <c r="B932" s="25">
        <v>46122.79547025463</v>
      </c>
      <c r="C932" s="21" t="s">
        <v>3186</v>
      </c>
      <c r="D932" s="21" t="s">
        <v>3528</v>
      </c>
      <c r="E932" s="26" t="s">
        <v>3529</v>
      </c>
      <c r="F932" s="21" t="s">
        <v>18</v>
      </c>
      <c r="G932" s="21" t="s">
        <v>3530</v>
      </c>
      <c r="H932" s="21" t="s">
        <v>36</v>
      </c>
      <c r="I932" s="21" t="s">
        <v>3531</v>
      </c>
      <c r="J932" s="21" t="s">
        <v>3532</v>
      </c>
      <c r="K932" s="21">
        <v>7.823250306001E14</v>
      </c>
      <c r="M932" s="15"/>
      <c r="N932" s="15"/>
      <c r="O932" s="15"/>
    </row>
    <row r="933" ht="22.5" customHeight="1">
      <c r="A933" s="32" t="str">
        <f t="shared" si="1"/>
        <v>4/2026</v>
      </c>
      <c r="B933" s="25">
        <v>46122.79803517361</v>
      </c>
      <c r="C933" s="21" t="s">
        <v>3186</v>
      </c>
      <c r="D933" s="21" t="s">
        <v>3191</v>
      </c>
      <c r="E933" s="26" t="s">
        <v>3533</v>
      </c>
      <c r="F933" s="21" t="s">
        <v>18</v>
      </c>
      <c r="G933" s="21" t="s">
        <v>3534</v>
      </c>
      <c r="H933" s="21" t="s">
        <v>20</v>
      </c>
      <c r="I933" s="21" t="s">
        <v>3535</v>
      </c>
      <c r="J933" s="21" t="s">
        <v>3536</v>
      </c>
      <c r="K933" s="21">
        <v>1.96926010400249E14</v>
      </c>
      <c r="M933" s="15"/>
      <c r="N933" s="15"/>
      <c r="O933" s="15"/>
    </row>
    <row r="934" ht="22.5" customHeight="1">
      <c r="A934" s="32" t="str">
        <f t="shared" si="1"/>
        <v>4/2026</v>
      </c>
      <c r="B934" s="25">
        <v>46122.800081388894</v>
      </c>
      <c r="C934" s="21" t="s">
        <v>115</v>
      </c>
      <c r="D934" s="21" t="s">
        <v>3537</v>
      </c>
      <c r="E934" s="26" t="s">
        <v>3538</v>
      </c>
      <c r="F934" s="21" t="s">
        <v>118</v>
      </c>
      <c r="G934" s="21" t="s">
        <v>3373</v>
      </c>
      <c r="H934" s="21" t="s">
        <v>36</v>
      </c>
      <c r="I934" s="21" t="s">
        <v>3539</v>
      </c>
      <c r="J934" s="21" t="s">
        <v>965</v>
      </c>
      <c r="K934" s="21" t="s">
        <v>122</v>
      </c>
      <c r="L934" s="21">
        <v>19.0</v>
      </c>
      <c r="M934" s="15"/>
      <c r="N934" s="15"/>
      <c r="O934" s="15"/>
    </row>
    <row r="935" ht="22.5" customHeight="1">
      <c r="A935" s="32" t="str">
        <f t="shared" si="1"/>
        <v>4/2026</v>
      </c>
      <c r="B935" s="25">
        <v>46122.80228878472</v>
      </c>
      <c r="C935" s="21" t="s">
        <v>115</v>
      </c>
      <c r="D935" s="21" t="s">
        <v>3540</v>
      </c>
      <c r="E935" s="26" t="s">
        <v>3541</v>
      </c>
      <c r="F935" s="21" t="s">
        <v>118</v>
      </c>
      <c r="G935" s="21" t="s">
        <v>3357</v>
      </c>
      <c r="H935" s="21" t="s">
        <v>36</v>
      </c>
      <c r="I935" s="21" t="s">
        <v>3542</v>
      </c>
      <c r="J935" s="21" t="s">
        <v>965</v>
      </c>
      <c r="K935" s="21" t="s">
        <v>122</v>
      </c>
      <c r="M935" s="15"/>
      <c r="N935" s="15"/>
      <c r="O935" s="15"/>
    </row>
    <row r="936" ht="22.5" customHeight="1">
      <c r="A936" s="32" t="str">
        <f t="shared" si="1"/>
        <v>4/2026</v>
      </c>
      <c r="B936" s="25">
        <v>46122.81254449074</v>
      </c>
      <c r="C936" s="21" t="s">
        <v>618</v>
      </c>
      <c r="D936" s="21" t="s">
        <v>3543</v>
      </c>
      <c r="E936" s="26" t="s">
        <v>3544</v>
      </c>
      <c r="F936" s="21" t="s">
        <v>118</v>
      </c>
      <c r="G936" s="21" t="s">
        <v>3350</v>
      </c>
      <c r="H936" s="21" t="s">
        <v>36</v>
      </c>
      <c r="I936" s="21" t="s">
        <v>3545</v>
      </c>
      <c r="K936" s="21">
        <v>1.19824092800114E14</v>
      </c>
      <c r="L936" s="21">
        <v>22.0</v>
      </c>
      <c r="M936" s="15"/>
      <c r="N936" s="15"/>
      <c r="O936" s="15"/>
    </row>
    <row r="937" ht="22.5" customHeight="1">
      <c r="A937" s="32" t="str">
        <f t="shared" si="1"/>
        <v>4/2026</v>
      </c>
      <c r="B937" s="25">
        <v>46122.84053090277</v>
      </c>
      <c r="C937" s="21" t="s">
        <v>386</v>
      </c>
      <c r="D937" s="21" t="s">
        <v>3546</v>
      </c>
      <c r="E937" s="26" t="s">
        <v>3293</v>
      </c>
      <c r="F937" s="21" t="s">
        <v>18</v>
      </c>
      <c r="G937" s="21" t="s">
        <v>291</v>
      </c>
      <c r="H937" s="21" t="s">
        <v>20</v>
      </c>
      <c r="I937" s="21" t="s">
        <v>3547</v>
      </c>
      <c r="J937" s="21" t="s">
        <v>3548</v>
      </c>
      <c r="K937" s="21">
        <v>1.85826020700151E14</v>
      </c>
      <c r="M937" s="15"/>
      <c r="N937" s="15"/>
      <c r="O937" s="15"/>
    </row>
    <row r="938" ht="22.5" customHeight="1">
      <c r="A938" s="32" t="str">
        <f t="shared" si="1"/>
        <v>4/2026</v>
      </c>
      <c r="B938" s="25">
        <v>46122.84785806713</v>
      </c>
      <c r="C938" s="21" t="s">
        <v>386</v>
      </c>
      <c r="D938" s="21" t="s">
        <v>3549</v>
      </c>
      <c r="E938" s="26" t="s">
        <v>1973</v>
      </c>
      <c r="F938" s="21" t="s">
        <v>18</v>
      </c>
      <c r="G938" s="21" t="s">
        <v>3550</v>
      </c>
      <c r="H938" s="21" t="s">
        <v>2569</v>
      </c>
      <c r="I938" s="21" t="s">
        <v>3551</v>
      </c>
      <c r="J938" s="21" t="s">
        <v>3552</v>
      </c>
      <c r="K938" s="21">
        <v>1.85825082200053E14</v>
      </c>
      <c r="M938" s="15"/>
      <c r="N938" s="15"/>
      <c r="O938" s="15"/>
    </row>
    <row r="939" ht="22.5" customHeight="1">
      <c r="A939" s="32" t="str">
        <f t="shared" si="1"/>
        <v>4/2026</v>
      </c>
      <c r="B939" s="25">
        <v>46122.85137704861</v>
      </c>
      <c r="C939" s="21" t="s">
        <v>386</v>
      </c>
      <c r="D939" s="21" t="s">
        <v>2736</v>
      </c>
      <c r="E939" s="26" t="s">
        <v>3443</v>
      </c>
      <c r="F939" s="21" t="s">
        <v>18</v>
      </c>
      <c r="G939" s="21" t="s">
        <v>3451</v>
      </c>
      <c r="H939" s="21" t="s">
        <v>425</v>
      </c>
      <c r="I939" s="21" t="s">
        <v>3553</v>
      </c>
      <c r="J939" s="21" t="s">
        <v>3554</v>
      </c>
      <c r="K939" s="21">
        <v>1.19824092800373E14</v>
      </c>
      <c r="M939" s="15"/>
      <c r="N939" s="15"/>
      <c r="O939" s="15"/>
    </row>
    <row r="940" ht="22.5" customHeight="1">
      <c r="A940" s="32" t="str">
        <f t="shared" si="1"/>
        <v>4/2026</v>
      </c>
      <c r="B940" s="25">
        <v>46122.93610456018</v>
      </c>
      <c r="C940" s="21" t="s">
        <v>77</v>
      </c>
      <c r="D940" s="21" t="s">
        <v>3555</v>
      </c>
      <c r="E940" s="26" t="s">
        <v>3556</v>
      </c>
      <c r="F940" s="21" t="s">
        <v>64</v>
      </c>
      <c r="G940" s="21" t="s">
        <v>3432</v>
      </c>
      <c r="H940" s="21" t="s">
        <v>36</v>
      </c>
      <c r="I940" s="29" t="s">
        <v>3557</v>
      </c>
      <c r="J940" s="21" t="s">
        <v>3076</v>
      </c>
      <c r="K940" s="21">
        <v>1.3982309120019E14</v>
      </c>
      <c r="M940" s="15"/>
      <c r="N940" s="15"/>
      <c r="O940" s="15"/>
    </row>
    <row r="941" ht="22.5" customHeight="1">
      <c r="A941" s="32" t="str">
        <f t="shared" si="1"/>
        <v>4/2026</v>
      </c>
      <c r="B941" s="25">
        <v>46122.98767740741</v>
      </c>
      <c r="C941" s="21" t="s">
        <v>1181</v>
      </c>
      <c r="D941" s="21" t="s">
        <v>345</v>
      </c>
      <c r="E941" s="26" t="s">
        <v>3558</v>
      </c>
      <c r="F941" s="21" t="s">
        <v>18</v>
      </c>
      <c r="G941" s="21" t="s">
        <v>3530</v>
      </c>
      <c r="H941" s="21" t="s">
        <v>36</v>
      </c>
      <c r="I941" s="21" t="s">
        <v>3559</v>
      </c>
      <c r="J941" s="21" t="s">
        <v>3519</v>
      </c>
      <c r="K941" s="21">
        <v>7.82324070900324E14</v>
      </c>
      <c r="L941" s="21">
        <v>33.0</v>
      </c>
      <c r="M941" s="15"/>
      <c r="N941" s="15"/>
      <c r="O941" s="15"/>
    </row>
    <row r="942" ht="22.5" customHeight="1">
      <c r="A942" s="32" t="str">
        <f t="shared" si="1"/>
        <v>4/2026</v>
      </c>
      <c r="B942" s="25">
        <v>46123.54130574074</v>
      </c>
      <c r="C942" s="21" t="s">
        <v>214</v>
      </c>
      <c r="D942" s="21" t="s">
        <v>3560</v>
      </c>
      <c r="E942" s="26" t="s">
        <v>3561</v>
      </c>
      <c r="F942" s="21" t="s">
        <v>18</v>
      </c>
      <c r="G942" s="21" t="s">
        <v>3373</v>
      </c>
      <c r="H942" s="21" t="s">
        <v>36</v>
      </c>
      <c r="I942" s="21" t="s">
        <v>3562</v>
      </c>
      <c r="J942" s="21" t="s">
        <v>2456</v>
      </c>
      <c r="K942" s="21">
        <v>1.39824102800139E14</v>
      </c>
      <c r="M942" s="15"/>
      <c r="N942" s="15"/>
      <c r="O942" s="15"/>
    </row>
    <row r="943" ht="22.5" customHeight="1">
      <c r="A943" s="32" t="str">
        <f t="shared" si="1"/>
        <v>4/2026</v>
      </c>
      <c r="B943" s="25">
        <v>46123.67404454861</v>
      </c>
      <c r="C943" s="21" t="s">
        <v>308</v>
      </c>
      <c r="D943" s="21" t="s">
        <v>3563</v>
      </c>
      <c r="E943" s="26" t="s">
        <v>3564</v>
      </c>
      <c r="F943" s="21" t="s">
        <v>106</v>
      </c>
      <c r="G943" s="21" t="s">
        <v>3451</v>
      </c>
      <c r="H943" s="21" t="s">
        <v>44</v>
      </c>
      <c r="I943" s="21" t="s">
        <v>3565</v>
      </c>
      <c r="K943" s="21">
        <v>1.84825082100113E14</v>
      </c>
      <c r="M943" s="15"/>
      <c r="N943" s="15"/>
      <c r="O943" s="15"/>
    </row>
    <row r="944" ht="22.5" customHeight="1">
      <c r="A944" s="32" t="str">
        <f t="shared" si="1"/>
        <v>4/2026</v>
      </c>
      <c r="B944" s="25">
        <v>46123.67572427083</v>
      </c>
      <c r="C944" s="21" t="s">
        <v>32</v>
      </c>
      <c r="D944" s="21" t="s">
        <v>3566</v>
      </c>
      <c r="E944" s="26" t="s">
        <v>3567</v>
      </c>
      <c r="F944" s="21" t="s">
        <v>18</v>
      </c>
      <c r="G944" s="21" t="s">
        <v>3568</v>
      </c>
      <c r="H944" s="21" t="s">
        <v>36</v>
      </c>
      <c r="I944" s="21" t="s">
        <v>3569</v>
      </c>
      <c r="K944" s="21">
        <v>8.92822070100212E14</v>
      </c>
      <c r="M944" s="15"/>
      <c r="N944" s="15"/>
      <c r="O944" s="15"/>
    </row>
    <row r="945" ht="22.5" customHeight="1">
      <c r="A945" s="32" t="str">
        <f t="shared" si="1"/>
        <v>4/2026</v>
      </c>
      <c r="B945" s="25">
        <v>46123.681011504625</v>
      </c>
      <c r="C945" s="21" t="s">
        <v>32</v>
      </c>
      <c r="D945" s="21" t="s">
        <v>3570</v>
      </c>
      <c r="E945" s="26" t="s">
        <v>3571</v>
      </c>
      <c r="F945" s="21" t="s">
        <v>18</v>
      </c>
      <c r="G945" s="21" t="s">
        <v>3350</v>
      </c>
      <c r="H945" s="21" t="s">
        <v>36</v>
      </c>
      <c r="I945" s="21" t="s">
        <v>3572</v>
      </c>
      <c r="K945" s="21">
        <v>8.92822070100048E14</v>
      </c>
      <c r="M945" s="15"/>
      <c r="N945" s="15"/>
      <c r="O945" s="15"/>
    </row>
    <row r="946" ht="22.5" customHeight="1">
      <c r="A946" s="32" t="str">
        <f t="shared" si="1"/>
        <v>4/2026</v>
      </c>
      <c r="B946" s="25">
        <v>46123.68569578703</v>
      </c>
      <c r="C946" s="21" t="s">
        <v>32</v>
      </c>
      <c r="D946" s="21" t="s">
        <v>3573</v>
      </c>
      <c r="E946" s="26" t="s">
        <v>3574</v>
      </c>
      <c r="F946" s="21" t="s">
        <v>18</v>
      </c>
      <c r="G946" s="21" t="s">
        <v>3432</v>
      </c>
      <c r="H946" s="21" t="s">
        <v>36</v>
      </c>
      <c r="I946" s="21" t="s">
        <v>3575</v>
      </c>
      <c r="K946" s="21">
        <v>1.39824102800024E14</v>
      </c>
      <c r="M946" s="15"/>
      <c r="N946" s="15"/>
      <c r="O946" s="15"/>
    </row>
    <row r="947" ht="22.5" customHeight="1">
      <c r="A947" s="32" t="str">
        <f t="shared" si="1"/>
        <v>4/2026</v>
      </c>
      <c r="B947" s="25">
        <v>46124.62959261574</v>
      </c>
      <c r="C947" s="21" t="s">
        <v>103</v>
      </c>
      <c r="D947" s="21" t="s">
        <v>3576</v>
      </c>
      <c r="E947" s="26" t="s">
        <v>3577</v>
      </c>
      <c r="F947" s="21" t="s">
        <v>106</v>
      </c>
      <c r="G947" s="21" t="s">
        <v>291</v>
      </c>
      <c r="H947" s="21" t="s">
        <v>20</v>
      </c>
      <c r="I947" s="21" t="s">
        <v>3578</v>
      </c>
      <c r="J947" s="21" t="s">
        <v>3579</v>
      </c>
      <c r="K947" s="21">
        <v>1.85826020700048E14</v>
      </c>
      <c r="M947" s="15"/>
      <c r="N947" s="15"/>
      <c r="O947" s="15"/>
    </row>
    <row r="948" ht="22.5" customHeight="1">
      <c r="A948" s="32" t="str">
        <f t="shared" si="1"/>
        <v>4/2026</v>
      </c>
      <c r="B948" s="25">
        <v>46124.6501422338</v>
      </c>
      <c r="C948" s="21" t="s">
        <v>51</v>
      </c>
      <c r="D948" s="21" t="s">
        <v>83</v>
      </c>
      <c r="E948" s="26" t="s">
        <v>3580</v>
      </c>
      <c r="F948" s="21" t="s">
        <v>18</v>
      </c>
      <c r="G948" s="21" t="s">
        <v>3469</v>
      </c>
      <c r="H948" s="21" t="s">
        <v>44</v>
      </c>
      <c r="I948" s="21" t="s">
        <v>3581</v>
      </c>
      <c r="K948" s="21">
        <v>1.86825082100181E14</v>
      </c>
      <c r="M948" s="15"/>
      <c r="N948" s="15"/>
      <c r="O948" s="15"/>
    </row>
    <row r="949" ht="22.5" customHeight="1">
      <c r="A949" s="32" t="str">
        <f t="shared" si="1"/>
        <v>4/2026</v>
      </c>
      <c r="B949" s="25">
        <v>46124.76207280092</v>
      </c>
      <c r="C949" s="21" t="s">
        <v>3186</v>
      </c>
      <c r="D949" s="21" t="s">
        <v>78</v>
      </c>
      <c r="E949" s="26" t="s">
        <v>3582</v>
      </c>
      <c r="F949" s="21" t="s">
        <v>18</v>
      </c>
      <c r="G949" s="21" t="s">
        <v>3583</v>
      </c>
      <c r="H949" s="21" t="s">
        <v>20</v>
      </c>
      <c r="I949" s="21" t="s">
        <v>3584</v>
      </c>
      <c r="J949" s="21" t="s">
        <v>3585</v>
      </c>
      <c r="K949" s="21">
        <v>1.84825123100253E14</v>
      </c>
      <c r="M949" s="15"/>
      <c r="N949" s="15"/>
      <c r="O949" s="15"/>
    </row>
    <row r="950" ht="22.5" customHeight="1">
      <c r="A950" s="32" t="str">
        <f t="shared" si="1"/>
        <v>4/2026</v>
      </c>
      <c r="B950" s="25">
        <v>46124.94678612269</v>
      </c>
      <c r="C950" s="21" t="s">
        <v>408</v>
      </c>
      <c r="D950" s="21" t="s">
        <v>3486</v>
      </c>
      <c r="E950" s="26" t="s">
        <v>3487</v>
      </c>
      <c r="F950" s="21" t="s">
        <v>118</v>
      </c>
      <c r="G950" s="21" t="s">
        <v>3357</v>
      </c>
      <c r="H950" s="21" t="s">
        <v>36</v>
      </c>
      <c r="I950" s="21" t="s">
        <v>3586</v>
      </c>
      <c r="J950" s="21" t="s">
        <v>3587</v>
      </c>
      <c r="K950" s="21">
        <v>8.92821080500008E14</v>
      </c>
      <c r="M950" s="15"/>
      <c r="N950" s="15"/>
      <c r="O950" s="15"/>
    </row>
    <row r="951" ht="22.5" customHeight="1">
      <c r="A951" s="32" t="str">
        <f t="shared" si="1"/>
        <v>4/2026</v>
      </c>
      <c r="B951" s="25">
        <v>46125.65549134259</v>
      </c>
      <c r="C951" s="21" t="s">
        <v>1181</v>
      </c>
      <c r="D951" s="21" t="s">
        <v>3588</v>
      </c>
      <c r="E951" s="26" t="s">
        <v>3589</v>
      </c>
      <c r="F951" s="21" t="s">
        <v>18</v>
      </c>
      <c r="G951" s="21" t="s">
        <v>3357</v>
      </c>
      <c r="H951" s="21" t="s">
        <v>36</v>
      </c>
      <c r="I951" s="21" t="s">
        <v>3590</v>
      </c>
      <c r="J951" s="21" t="s">
        <v>3448</v>
      </c>
      <c r="K951" s="21">
        <v>1.1982309120003E14</v>
      </c>
      <c r="L951" s="21">
        <v>22.0</v>
      </c>
      <c r="M951" s="15"/>
      <c r="N951" s="15"/>
      <c r="O951" s="15"/>
    </row>
    <row r="952" ht="22.5" customHeight="1">
      <c r="A952" s="32" t="str">
        <f t="shared" si="1"/>
        <v>4/2026</v>
      </c>
      <c r="B952" s="25">
        <v>46125.70111497685</v>
      </c>
      <c r="C952" s="21" t="s">
        <v>408</v>
      </c>
      <c r="D952" s="21" t="s">
        <v>3591</v>
      </c>
      <c r="E952" s="26" t="s">
        <v>3592</v>
      </c>
      <c r="F952" s="21" t="s">
        <v>118</v>
      </c>
      <c r="G952" s="21" t="s">
        <v>291</v>
      </c>
      <c r="H952" s="21" t="s">
        <v>20</v>
      </c>
      <c r="I952" s="21" t="s">
        <v>3593</v>
      </c>
      <c r="J952" s="21" t="s">
        <v>3594</v>
      </c>
      <c r="K952" s="21">
        <v>1.85826020700072E14</v>
      </c>
      <c r="M952" s="15"/>
      <c r="N952" s="15"/>
      <c r="O952" s="15"/>
    </row>
    <row r="953" ht="22.5" customHeight="1">
      <c r="A953" s="32" t="str">
        <f t="shared" si="1"/>
        <v>4/2026</v>
      </c>
      <c r="B953" s="25">
        <v>46125.76658671296</v>
      </c>
      <c r="C953" s="21" t="s">
        <v>1181</v>
      </c>
      <c r="D953" s="21" t="s">
        <v>3595</v>
      </c>
      <c r="E953" s="26" t="s">
        <v>3596</v>
      </c>
      <c r="F953" s="21" t="s">
        <v>18</v>
      </c>
      <c r="G953" s="21" t="s">
        <v>3373</v>
      </c>
      <c r="H953" s="21" t="s">
        <v>36</v>
      </c>
      <c r="I953" s="21" t="s">
        <v>3597</v>
      </c>
      <c r="J953" s="21" t="s">
        <v>417</v>
      </c>
      <c r="K953" s="21">
        <v>1.39823112300142E14</v>
      </c>
      <c r="L953" s="21">
        <v>19.0</v>
      </c>
      <c r="M953" s="15"/>
      <c r="N953" s="15"/>
      <c r="O953" s="15"/>
    </row>
    <row r="954" ht="22.5" customHeight="1">
      <c r="A954" s="32" t="str">
        <f t="shared" si="1"/>
        <v>4/2026</v>
      </c>
      <c r="B954" s="25">
        <v>46125.76857028935</v>
      </c>
      <c r="C954" s="21" t="s">
        <v>1181</v>
      </c>
      <c r="D954" s="21" t="s">
        <v>3598</v>
      </c>
      <c r="E954" s="26" t="s">
        <v>3599</v>
      </c>
      <c r="F954" s="21" t="s">
        <v>18</v>
      </c>
      <c r="G954" s="21" t="s">
        <v>3357</v>
      </c>
      <c r="H954" s="21" t="s">
        <v>36</v>
      </c>
      <c r="I954" s="21" t="s">
        <v>3600</v>
      </c>
      <c r="K954" s="21" t="s">
        <v>3601</v>
      </c>
      <c r="L954" s="21">
        <v>10.0</v>
      </c>
      <c r="M954" s="15"/>
      <c r="N954" s="15"/>
      <c r="O954" s="15"/>
    </row>
    <row r="955" ht="22.5" customHeight="1">
      <c r="A955" s="32" t="str">
        <f t="shared" si="1"/>
        <v>4/2026</v>
      </c>
      <c r="B955" s="25">
        <v>46125.859297303236</v>
      </c>
      <c r="C955" s="21" t="s">
        <v>115</v>
      </c>
      <c r="D955" s="21" t="s">
        <v>2187</v>
      </c>
      <c r="E955" s="26" t="s">
        <v>3602</v>
      </c>
      <c r="F955" s="21" t="s">
        <v>118</v>
      </c>
      <c r="G955" s="21" t="s">
        <v>3357</v>
      </c>
      <c r="H955" s="21" t="s">
        <v>36</v>
      </c>
      <c r="I955" s="21" t="s">
        <v>3603</v>
      </c>
      <c r="J955" s="21" t="s">
        <v>965</v>
      </c>
      <c r="K955" s="21" t="s">
        <v>3604</v>
      </c>
      <c r="L955" s="21">
        <v>24.0</v>
      </c>
      <c r="M955" s="15"/>
      <c r="N955" s="15"/>
      <c r="O955" s="15"/>
    </row>
    <row r="956" ht="22.5" customHeight="1">
      <c r="A956" s="32" t="str">
        <f t="shared" si="1"/>
        <v>4/2026</v>
      </c>
      <c r="B956" s="25">
        <v>46125.86083719907</v>
      </c>
      <c r="C956" s="21" t="s">
        <v>115</v>
      </c>
      <c r="D956" s="21" t="s">
        <v>3605</v>
      </c>
      <c r="E956" s="26" t="s">
        <v>3606</v>
      </c>
      <c r="F956" s="21" t="s">
        <v>118</v>
      </c>
      <c r="G956" s="21" t="s">
        <v>3373</v>
      </c>
      <c r="H956" s="21" t="s">
        <v>36</v>
      </c>
      <c r="I956" s="21" t="s">
        <v>3607</v>
      </c>
      <c r="J956" s="21" t="s">
        <v>965</v>
      </c>
      <c r="K956" s="21" t="s">
        <v>122</v>
      </c>
      <c r="M956" s="15"/>
      <c r="N956" s="15"/>
      <c r="O956" s="15"/>
    </row>
    <row r="957" ht="22.5" customHeight="1">
      <c r="A957" s="32" t="str">
        <f t="shared" si="1"/>
        <v>4/2026</v>
      </c>
      <c r="B957" s="25">
        <v>46125.86189467592</v>
      </c>
      <c r="C957" s="21" t="s">
        <v>115</v>
      </c>
      <c r="D957" s="21" t="s">
        <v>2765</v>
      </c>
      <c r="E957" s="26" t="s">
        <v>3608</v>
      </c>
      <c r="F957" s="21" t="s">
        <v>118</v>
      </c>
      <c r="G957" s="21" t="s">
        <v>3501</v>
      </c>
      <c r="H957" s="21" t="s">
        <v>36</v>
      </c>
      <c r="I957" s="21" t="s">
        <v>3609</v>
      </c>
      <c r="J957" s="21" t="s">
        <v>965</v>
      </c>
      <c r="K957" s="21" t="s">
        <v>122</v>
      </c>
      <c r="M957" s="15"/>
      <c r="N957" s="15"/>
      <c r="O957" s="15"/>
    </row>
    <row r="958" ht="22.5" customHeight="1">
      <c r="A958" s="32" t="str">
        <f t="shared" si="1"/>
        <v>4/2026</v>
      </c>
      <c r="B958" s="25">
        <v>46125.86382721065</v>
      </c>
      <c r="C958" s="21" t="s">
        <v>115</v>
      </c>
      <c r="D958" s="21" t="s">
        <v>3610</v>
      </c>
      <c r="E958" s="26" t="s">
        <v>3611</v>
      </c>
      <c r="F958" s="21" t="s">
        <v>118</v>
      </c>
      <c r="G958" s="21" t="s">
        <v>3373</v>
      </c>
      <c r="H958" s="21" t="s">
        <v>36</v>
      </c>
      <c r="I958" s="21" t="s">
        <v>3612</v>
      </c>
      <c r="J958" s="21" t="s">
        <v>965</v>
      </c>
      <c r="K958" s="21" t="s">
        <v>122</v>
      </c>
      <c r="L958" s="21">
        <v>12.0</v>
      </c>
      <c r="M958" s="15"/>
      <c r="N958" s="15"/>
      <c r="O958" s="15"/>
    </row>
    <row r="959" ht="22.5" customHeight="1">
      <c r="A959" s="32" t="str">
        <f t="shared" si="1"/>
        <v>4/2026</v>
      </c>
      <c r="B959" s="25">
        <v>46125.86519606481</v>
      </c>
      <c r="C959" s="21" t="s">
        <v>115</v>
      </c>
      <c r="D959" s="21" t="s">
        <v>1852</v>
      </c>
      <c r="E959" s="26" t="s">
        <v>1853</v>
      </c>
      <c r="F959" s="21" t="s">
        <v>118</v>
      </c>
      <c r="G959" s="21" t="s">
        <v>291</v>
      </c>
      <c r="H959" s="21" t="s">
        <v>141</v>
      </c>
      <c r="I959" s="21" t="s">
        <v>3613</v>
      </c>
      <c r="J959" s="21" t="s">
        <v>3614</v>
      </c>
      <c r="K959" s="21" t="s">
        <v>122</v>
      </c>
      <c r="M959" s="15"/>
      <c r="N959" s="15"/>
      <c r="O959" s="15"/>
    </row>
    <row r="960" ht="22.5" customHeight="1">
      <c r="A960" s="32" t="str">
        <f t="shared" si="1"/>
        <v>4/2026</v>
      </c>
      <c r="B960" s="25">
        <v>46125.86679510417</v>
      </c>
      <c r="C960" s="21" t="s">
        <v>115</v>
      </c>
      <c r="D960" s="21" t="s">
        <v>3615</v>
      </c>
      <c r="E960" s="26" t="s">
        <v>3616</v>
      </c>
      <c r="F960" s="21" t="s">
        <v>118</v>
      </c>
      <c r="G960" s="21" t="s">
        <v>3373</v>
      </c>
      <c r="H960" s="21" t="s">
        <v>141</v>
      </c>
      <c r="I960" s="21" t="s">
        <v>3617</v>
      </c>
      <c r="J960" s="21" t="s">
        <v>3618</v>
      </c>
      <c r="K960" s="21" t="s">
        <v>122</v>
      </c>
      <c r="M960" s="15"/>
      <c r="N960" s="15"/>
      <c r="O960" s="15"/>
    </row>
    <row r="961" ht="22.5" customHeight="1">
      <c r="A961" s="32" t="str">
        <f t="shared" si="1"/>
        <v>4/2026</v>
      </c>
      <c r="B961" s="25">
        <v>46125.90433740741</v>
      </c>
      <c r="C961" s="21" t="s">
        <v>246</v>
      </c>
      <c r="D961" s="21" t="s">
        <v>3619</v>
      </c>
      <c r="E961" s="26" t="s">
        <v>3620</v>
      </c>
      <c r="F961" s="21" t="s">
        <v>249</v>
      </c>
      <c r="G961" s="21" t="s">
        <v>3432</v>
      </c>
      <c r="H961" s="21" t="s">
        <v>36</v>
      </c>
      <c r="I961" s="21" t="s">
        <v>3621</v>
      </c>
      <c r="K961" s="21">
        <v>1.39822121600292E14</v>
      </c>
      <c r="L961" s="21">
        <v>35.0</v>
      </c>
      <c r="M961" s="15"/>
      <c r="N961" s="15"/>
      <c r="O961" s="15"/>
    </row>
    <row r="962" ht="22.5" customHeight="1">
      <c r="A962" s="32" t="str">
        <f t="shared" si="1"/>
        <v>4/2026</v>
      </c>
      <c r="B962" s="25">
        <v>46126.61079047454</v>
      </c>
      <c r="C962" s="21" t="s">
        <v>3008</v>
      </c>
      <c r="D962" s="21" t="s">
        <v>3522</v>
      </c>
      <c r="E962" s="26" t="s">
        <v>3622</v>
      </c>
      <c r="F962" s="21" t="s">
        <v>303</v>
      </c>
      <c r="G962" s="21" t="s">
        <v>3357</v>
      </c>
      <c r="H962" s="21" t="s">
        <v>36</v>
      </c>
      <c r="I962" s="21" t="s">
        <v>3623</v>
      </c>
      <c r="K962" s="21">
        <v>1.19823021300323E14</v>
      </c>
      <c r="M962" s="15"/>
      <c r="N962" s="15"/>
      <c r="O962" s="15"/>
    </row>
    <row r="963" ht="22.5" customHeight="1">
      <c r="A963" s="32" t="str">
        <f t="shared" si="1"/>
        <v>4/2026</v>
      </c>
      <c r="B963" s="25">
        <v>46126.753765625</v>
      </c>
      <c r="C963" s="21" t="s">
        <v>115</v>
      </c>
      <c r="D963" s="21" t="s">
        <v>3208</v>
      </c>
      <c r="E963" s="26" t="s">
        <v>3209</v>
      </c>
      <c r="F963" s="21" t="s">
        <v>3210</v>
      </c>
      <c r="G963" s="21" t="s">
        <v>291</v>
      </c>
      <c r="H963" s="21" t="s">
        <v>141</v>
      </c>
      <c r="I963" s="21" t="s">
        <v>3624</v>
      </c>
      <c r="J963" s="21" t="s">
        <v>3625</v>
      </c>
      <c r="K963" s="21" t="s">
        <v>122</v>
      </c>
      <c r="M963" s="15"/>
      <c r="N963" s="15"/>
      <c r="O963" s="15"/>
    </row>
    <row r="964" ht="22.5" customHeight="1">
      <c r="A964" s="32" t="str">
        <f t="shared" si="1"/>
        <v>4/2026</v>
      </c>
      <c r="B964" s="25">
        <v>46126.754723715276</v>
      </c>
      <c r="C964" s="21" t="s">
        <v>115</v>
      </c>
      <c r="D964" s="21" t="s">
        <v>1852</v>
      </c>
      <c r="E964" s="26" t="s">
        <v>1853</v>
      </c>
      <c r="F964" s="21" t="s">
        <v>118</v>
      </c>
      <c r="G964" s="21" t="s">
        <v>291</v>
      </c>
      <c r="H964" s="21" t="s">
        <v>141</v>
      </c>
      <c r="I964" s="21" t="s">
        <v>3626</v>
      </c>
      <c r="J964" s="21" t="s">
        <v>3627</v>
      </c>
      <c r="K964" s="21" t="s">
        <v>122</v>
      </c>
      <c r="M964" s="15"/>
      <c r="N964" s="15"/>
      <c r="O964" s="15"/>
    </row>
    <row r="965" ht="22.5" customHeight="1">
      <c r="A965" s="32" t="str">
        <f t="shared" si="1"/>
        <v>4/2026</v>
      </c>
      <c r="B965" s="25">
        <v>46126.75573016204</v>
      </c>
      <c r="C965" s="21" t="s">
        <v>115</v>
      </c>
      <c r="D965" s="21" t="s">
        <v>3330</v>
      </c>
      <c r="E965" s="26" t="s">
        <v>3628</v>
      </c>
      <c r="F965" s="21" t="s">
        <v>118</v>
      </c>
      <c r="G965" s="21" t="s">
        <v>3501</v>
      </c>
      <c r="H965" s="21" t="s">
        <v>36</v>
      </c>
      <c r="I965" s="21" t="s">
        <v>3629</v>
      </c>
      <c r="J965" s="21" t="s">
        <v>965</v>
      </c>
      <c r="K965" s="21" t="s">
        <v>122</v>
      </c>
      <c r="M965" s="15"/>
      <c r="N965" s="15"/>
      <c r="O965" s="15"/>
    </row>
    <row r="966" ht="22.5" customHeight="1">
      <c r="A966" s="32" t="str">
        <f t="shared" si="1"/>
        <v>4/2026</v>
      </c>
      <c r="B966" s="25">
        <v>46126.857109317134</v>
      </c>
      <c r="C966" s="21" t="s">
        <v>408</v>
      </c>
      <c r="D966" s="21" t="s">
        <v>3630</v>
      </c>
      <c r="E966" s="26" t="s">
        <v>3631</v>
      </c>
      <c r="F966" s="21" t="s">
        <v>118</v>
      </c>
      <c r="G966" s="21" t="s">
        <v>291</v>
      </c>
      <c r="H966" s="21" t="s">
        <v>20</v>
      </c>
      <c r="I966" s="21" t="s">
        <v>3632</v>
      </c>
      <c r="J966" s="21" t="s">
        <v>3633</v>
      </c>
      <c r="K966" s="21">
        <v>1.85826020700037E14</v>
      </c>
      <c r="M966" s="15"/>
      <c r="N966" s="15"/>
      <c r="O966" s="15"/>
    </row>
    <row r="967" ht="22.5" customHeight="1">
      <c r="A967" s="32" t="str">
        <f t="shared" si="1"/>
        <v>4/2026</v>
      </c>
      <c r="B967" s="25">
        <v>46127.56078546296</v>
      </c>
      <c r="C967" s="21" t="s">
        <v>618</v>
      </c>
      <c r="D967" s="21" t="s">
        <v>3634</v>
      </c>
      <c r="E967" s="26" t="s">
        <v>3635</v>
      </c>
      <c r="F967" s="21" t="s">
        <v>118</v>
      </c>
      <c r="G967" s="21" t="s">
        <v>3399</v>
      </c>
      <c r="H967" s="21" t="s">
        <v>44</v>
      </c>
      <c r="I967" s="21" t="s">
        <v>3636</v>
      </c>
      <c r="K967" s="21">
        <v>1.3832508210009E14</v>
      </c>
      <c r="L967" s="21">
        <v>10.0</v>
      </c>
      <c r="M967" s="15"/>
      <c r="N967" s="15"/>
      <c r="O967" s="15"/>
    </row>
    <row r="968" ht="22.5" customHeight="1">
      <c r="A968" s="32" t="str">
        <f t="shared" si="1"/>
        <v>4/2026</v>
      </c>
      <c r="B968" s="25">
        <v>46127.73233945602</v>
      </c>
      <c r="C968" s="21" t="s">
        <v>32</v>
      </c>
      <c r="D968" s="21" t="s">
        <v>3637</v>
      </c>
      <c r="E968" s="26" t="s">
        <v>3638</v>
      </c>
      <c r="F968" s="21" t="s">
        <v>18</v>
      </c>
      <c r="G968" s="21" t="s">
        <v>3639</v>
      </c>
      <c r="H968" s="21" t="s">
        <v>36</v>
      </c>
      <c r="I968" s="21" t="s">
        <v>3640</v>
      </c>
      <c r="K968" s="21">
        <v>1.19823021300205E14</v>
      </c>
      <c r="M968" s="15"/>
      <c r="N968" s="15"/>
      <c r="O968" s="15"/>
    </row>
    <row r="969" ht="22.5" customHeight="1">
      <c r="A969" s="32" t="str">
        <f t="shared" si="1"/>
        <v>4/2026</v>
      </c>
      <c r="B969" s="25">
        <v>46127.734583171296</v>
      </c>
      <c r="C969" s="21" t="s">
        <v>32</v>
      </c>
      <c r="D969" s="21" t="s">
        <v>3321</v>
      </c>
      <c r="E969" s="26" t="s">
        <v>3641</v>
      </c>
      <c r="F969" s="21" t="s">
        <v>18</v>
      </c>
      <c r="G969" s="21" t="s">
        <v>3432</v>
      </c>
      <c r="H969" s="21" t="s">
        <v>36</v>
      </c>
      <c r="I969" s="21" t="s">
        <v>3642</v>
      </c>
      <c r="K969" s="21">
        <v>1.39824092700616E14</v>
      </c>
      <c r="M969" s="15"/>
      <c r="N969" s="15"/>
      <c r="O969" s="15"/>
    </row>
    <row r="970" ht="22.5" customHeight="1">
      <c r="A970" s="32" t="str">
        <f t="shared" si="1"/>
        <v>4/2026</v>
      </c>
      <c r="B970" s="25">
        <v>46128.538980717596</v>
      </c>
      <c r="C970" s="21" t="s">
        <v>1181</v>
      </c>
      <c r="D970" s="21" t="s">
        <v>72</v>
      </c>
      <c r="E970" s="26" t="s">
        <v>3643</v>
      </c>
      <c r="F970" s="21" t="s">
        <v>18</v>
      </c>
      <c r="G970" s="21" t="s">
        <v>3373</v>
      </c>
      <c r="H970" s="21" t="s">
        <v>36</v>
      </c>
      <c r="I970" s="21" t="s">
        <v>3644</v>
      </c>
      <c r="J970" s="21" t="s">
        <v>3448</v>
      </c>
      <c r="K970" s="21">
        <v>1.3982311230029E14</v>
      </c>
      <c r="L970" s="21">
        <v>22.0</v>
      </c>
      <c r="M970" s="15"/>
      <c r="N970" s="15"/>
      <c r="O970" s="15"/>
    </row>
    <row r="971" ht="22.5" customHeight="1">
      <c r="A971" s="32" t="str">
        <f t="shared" si="1"/>
        <v>4/2026</v>
      </c>
      <c r="B971" s="25">
        <v>46128.54033184028</v>
      </c>
      <c r="C971" s="21" t="s">
        <v>1181</v>
      </c>
      <c r="D971" s="21" t="s">
        <v>3645</v>
      </c>
      <c r="E971" s="26" t="s">
        <v>3646</v>
      </c>
      <c r="F971" s="21" t="s">
        <v>18</v>
      </c>
      <c r="G971" s="21" t="s">
        <v>3373</v>
      </c>
      <c r="H971" s="21" t="s">
        <v>36</v>
      </c>
      <c r="I971" s="21" t="s">
        <v>3647</v>
      </c>
      <c r="J971" s="21" t="s">
        <v>391</v>
      </c>
      <c r="K971" s="21">
        <v>1.39824102800657E14</v>
      </c>
      <c r="L971" s="21">
        <v>10.0</v>
      </c>
      <c r="M971" s="15"/>
      <c r="N971" s="15"/>
      <c r="O971" s="15"/>
    </row>
    <row r="972" ht="22.5" customHeight="1">
      <c r="A972" s="32" t="str">
        <f t="shared" si="1"/>
        <v>4/2026</v>
      </c>
      <c r="B972" s="25">
        <v>46128.56534515046</v>
      </c>
      <c r="C972" s="21" t="s">
        <v>39</v>
      </c>
      <c r="D972" s="21" t="s">
        <v>3648</v>
      </c>
      <c r="E972" s="26" t="s">
        <v>3649</v>
      </c>
      <c r="F972" s="21" t="s">
        <v>42</v>
      </c>
      <c r="G972" s="21" t="s">
        <v>291</v>
      </c>
      <c r="H972" s="21" t="s">
        <v>44</v>
      </c>
      <c r="I972" s="21" t="s">
        <v>3650</v>
      </c>
      <c r="K972" s="21">
        <v>1.85825082200007E14</v>
      </c>
      <c r="L972" s="26" t="s">
        <v>3651</v>
      </c>
      <c r="M972" s="15"/>
      <c r="N972" s="15"/>
      <c r="O972" s="15"/>
    </row>
    <row r="973" ht="22.5" customHeight="1">
      <c r="A973" s="32" t="str">
        <f t="shared" si="1"/>
        <v>4/2026</v>
      </c>
      <c r="B973" s="25">
        <v>46128.71814390046</v>
      </c>
      <c r="C973" s="21" t="s">
        <v>32</v>
      </c>
      <c r="D973" s="21" t="s">
        <v>3652</v>
      </c>
      <c r="E973" s="26" t="s">
        <v>3653</v>
      </c>
      <c r="F973" s="21" t="s">
        <v>18</v>
      </c>
      <c r="G973" s="21" t="s">
        <v>291</v>
      </c>
      <c r="H973" s="21" t="s">
        <v>20</v>
      </c>
      <c r="I973" s="21" t="s">
        <v>3654</v>
      </c>
      <c r="K973" s="21">
        <v>1.85826020700078E14</v>
      </c>
      <c r="M973" s="15"/>
      <c r="N973" s="15"/>
      <c r="O973" s="15"/>
    </row>
    <row r="974" ht="22.5" customHeight="1">
      <c r="A974" s="32" t="str">
        <f t="shared" si="1"/>
        <v>4/2026</v>
      </c>
      <c r="B974" s="25">
        <v>46128.720467453706</v>
      </c>
      <c r="C974" s="21" t="s">
        <v>32</v>
      </c>
      <c r="D974" s="21" t="s">
        <v>3655</v>
      </c>
      <c r="E974" s="26" t="s">
        <v>3656</v>
      </c>
      <c r="F974" s="21" t="s">
        <v>18</v>
      </c>
      <c r="G974" s="21" t="s">
        <v>3568</v>
      </c>
      <c r="H974" s="21" t="s">
        <v>36</v>
      </c>
      <c r="I974" s="21" t="s">
        <v>3657</v>
      </c>
      <c r="K974" s="21">
        <v>8.92821042900494E14</v>
      </c>
      <c r="M974" s="15"/>
      <c r="N974" s="15"/>
      <c r="O974" s="15"/>
    </row>
    <row r="975" ht="22.5" customHeight="1">
      <c r="A975" s="32" t="str">
        <f t="shared" si="1"/>
        <v>4/2026</v>
      </c>
      <c r="B975" s="25">
        <v>46128.74829260417</v>
      </c>
      <c r="C975" s="21" t="s">
        <v>103</v>
      </c>
      <c r="D975" s="21" t="s">
        <v>3658</v>
      </c>
      <c r="E975" s="26" t="s">
        <v>3659</v>
      </c>
      <c r="F975" s="21" t="s">
        <v>106</v>
      </c>
      <c r="G975" s="21" t="s">
        <v>3350</v>
      </c>
      <c r="H975" s="21" t="s">
        <v>36</v>
      </c>
      <c r="I975" s="21" t="s">
        <v>3660</v>
      </c>
      <c r="J975" s="21" t="s">
        <v>3661</v>
      </c>
      <c r="K975" s="21">
        <v>1.19822061300169E14</v>
      </c>
      <c r="M975" s="15"/>
      <c r="N975" s="15"/>
      <c r="O975" s="15"/>
    </row>
    <row r="976" ht="22.5" customHeight="1">
      <c r="A976" s="32" t="str">
        <f t="shared" si="1"/>
        <v>4/2026</v>
      </c>
      <c r="B976" s="25">
        <v>46128.79593627315</v>
      </c>
      <c r="C976" s="21" t="s">
        <v>115</v>
      </c>
      <c r="D976" s="21" t="s">
        <v>3662</v>
      </c>
      <c r="E976" s="26" t="s">
        <v>3663</v>
      </c>
      <c r="F976" s="21" t="s">
        <v>118</v>
      </c>
      <c r="G976" s="21" t="s">
        <v>3373</v>
      </c>
      <c r="H976" s="21" t="s">
        <v>36</v>
      </c>
      <c r="I976" s="21" t="s">
        <v>3664</v>
      </c>
      <c r="J976" s="21" t="s">
        <v>965</v>
      </c>
      <c r="K976" s="21" t="s">
        <v>122</v>
      </c>
      <c r="M976" s="15"/>
      <c r="N976" s="15"/>
      <c r="O976" s="15"/>
    </row>
    <row r="977" ht="22.5" customHeight="1">
      <c r="A977" s="32" t="str">
        <f t="shared" si="1"/>
        <v>4/2026</v>
      </c>
      <c r="B977" s="25">
        <v>46128.796820104166</v>
      </c>
      <c r="C977" s="21" t="s">
        <v>115</v>
      </c>
      <c r="D977" s="21" t="s">
        <v>367</v>
      </c>
      <c r="E977" s="26" t="s">
        <v>3665</v>
      </c>
      <c r="F977" s="21" t="s">
        <v>118</v>
      </c>
      <c r="G977" s="21" t="s">
        <v>3666</v>
      </c>
      <c r="H977" s="21" t="s">
        <v>36</v>
      </c>
      <c r="I977" s="21" t="s">
        <v>3667</v>
      </c>
      <c r="J977" s="21" t="s">
        <v>965</v>
      </c>
      <c r="K977" s="21" t="s">
        <v>122</v>
      </c>
      <c r="M977" s="15"/>
      <c r="N977" s="15"/>
      <c r="O977" s="15"/>
    </row>
    <row r="978" ht="22.5" customHeight="1">
      <c r="A978" s="32" t="str">
        <f t="shared" si="1"/>
        <v>4/2026</v>
      </c>
      <c r="B978" s="25">
        <v>46128.797789606484</v>
      </c>
      <c r="C978" s="21" t="s">
        <v>115</v>
      </c>
      <c r="D978" s="21" t="s">
        <v>3668</v>
      </c>
      <c r="E978" s="26" t="s">
        <v>3669</v>
      </c>
      <c r="F978" s="21" t="s">
        <v>118</v>
      </c>
      <c r="G978" s="21" t="s">
        <v>3357</v>
      </c>
      <c r="H978" s="21" t="s">
        <v>36</v>
      </c>
      <c r="I978" s="21" t="s">
        <v>3670</v>
      </c>
      <c r="J978" s="21" t="s">
        <v>965</v>
      </c>
      <c r="K978" s="21" t="s">
        <v>122</v>
      </c>
      <c r="M978" s="15"/>
      <c r="N978" s="15"/>
      <c r="O978" s="15"/>
    </row>
    <row r="979" ht="22.5" customHeight="1">
      <c r="A979" s="32" t="str">
        <f t="shared" si="1"/>
        <v>4/2026</v>
      </c>
      <c r="B979" s="25">
        <v>46128.79952712963</v>
      </c>
      <c r="C979" s="21" t="s">
        <v>115</v>
      </c>
      <c r="D979" s="21" t="s">
        <v>3671</v>
      </c>
      <c r="E979" s="26" t="s">
        <v>754</v>
      </c>
      <c r="F979" s="21" t="s">
        <v>118</v>
      </c>
      <c r="G979" s="21" t="s">
        <v>3672</v>
      </c>
      <c r="H979" s="21" t="s">
        <v>141</v>
      </c>
      <c r="I979" s="21" t="s">
        <v>3673</v>
      </c>
      <c r="J979" s="21" t="s">
        <v>3674</v>
      </c>
      <c r="K979" s="21" t="s">
        <v>122</v>
      </c>
      <c r="M979" s="15"/>
      <c r="N979" s="15"/>
      <c r="O979" s="15"/>
    </row>
    <row r="980" ht="22.5" customHeight="1">
      <c r="A980" s="32" t="str">
        <f t="shared" si="1"/>
        <v>4/2026</v>
      </c>
      <c r="B980" s="25">
        <v>46128.80063182871</v>
      </c>
      <c r="C980" s="21" t="s">
        <v>115</v>
      </c>
      <c r="D980" s="21" t="s">
        <v>1852</v>
      </c>
      <c r="E980" s="26" t="s">
        <v>1853</v>
      </c>
      <c r="F980" s="21" t="s">
        <v>118</v>
      </c>
      <c r="G980" s="21" t="s">
        <v>291</v>
      </c>
      <c r="H980" s="21" t="s">
        <v>141</v>
      </c>
      <c r="I980" s="21" t="s">
        <v>3675</v>
      </c>
      <c r="J980" s="21" t="s">
        <v>3676</v>
      </c>
      <c r="K980" s="21" t="s">
        <v>122</v>
      </c>
      <c r="M980" s="15"/>
      <c r="N980" s="15"/>
      <c r="O980" s="15"/>
    </row>
    <row r="981" ht="22.5" customHeight="1">
      <c r="A981" s="32" t="str">
        <f t="shared" si="1"/>
        <v>4/2026</v>
      </c>
      <c r="B981" s="25">
        <v>46128.80201130787</v>
      </c>
      <c r="C981" s="21" t="s">
        <v>115</v>
      </c>
      <c r="D981" s="21" t="s">
        <v>3677</v>
      </c>
      <c r="E981" s="26" t="s">
        <v>3678</v>
      </c>
      <c r="F981" s="21" t="s">
        <v>118</v>
      </c>
      <c r="G981" s="21" t="s">
        <v>3357</v>
      </c>
      <c r="H981" s="21" t="s">
        <v>141</v>
      </c>
      <c r="I981" s="21" t="s">
        <v>3679</v>
      </c>
      <c r="J981" s="21" t="s">
        <v>1273</v>
      </c>
      <c r="K981" s="21" t="s">
        <v>122</v>
      </c>
      <c r="M981" s="15"/>
      <c r="N981" s="15"/>
      <c r="O981" s="15"/>
    </row>
    <row r="982" ht="22.5" customHeight="1">
      <c r="A982" s="32" t="str">
        <f t="shared" si="1"/>
        <v>4/2026</v>
      </c>
      <c r="B982" s="25">
        <v>46128.9779528125</v>
      </c>
      <c r="C982" s="21" t="s">
        <v>123</v>
      </c>
      <c r="D982" s="21" t="s">
        <v>3680</v>
      </c>
      <c r="E982" s="26" t="s">
        <v>3681</v>
      </c>
      <c r="F982" s="21" t="s">
        <v>18</v>
      </c>
      <c r="G982" s="21" t="s">
        <v>3350</v>
      </c>
      <c r="H982" s="21" t="s">
        <v>36</v>
      </c>
      <c r="I982" s="21" t="s">
        <v>3682</v>
      </c>
      <c r="J982" s="21" t="s">
        <v>2064</v>
      </c>
      <c r="K982" s="21">
        <v>1.19823021300115E14</v>
      </c>
      <c r="M982" s="15"/>
      <c r="N982" s="15"/>
      <c r="O982" s="15"/>
    </row>
    <row r="983" ht="22.5" customHeight="1">
      <c r="A983" s="32" t="str">
        <f t="shared" si="1"/>
        <v>4/2026</v>
      </c>
      <c r="B983" s="25">
        <v>46129.40804547454</v>
      </c>
      <c r="C983" s="21" t="s">
        <v>308</v>
      </c>
      <c r="D983" s="21" t="s">
        <v>3683</v>
      </c>
      <c r="E983" s="26" t="s">
        <v>3684</v>
      </c>
      <c r="F983" s="21" t="s">
        <v>106</v>
      </c>
      <c r="G983" s="21" t="s">
        <v>3530</v>
      </c>
      <c r="H983" s="21" t="s">
        <v>36</v>
      </c>
      <c r="I983" s="21" t="s">
        <v>3685</v>
      </c>
      <c r="J983" s="21" t="s">
        <v>3686</v>
      </c>
      <c r="K983" s="21">
        <v>7.82324070900358E14</v>
      </c>
      <c r="M983" s="15"/>
      <c r="N983" s="15"/>
      <c r="O983" s="15"/>
    </row>
    <row r="984" ht="22.5" customHeight="1">
      <c r="A984" s="32" t="str">
        <f t="shared" si="1"/>
        <v>4/2026</v>
      </c>
      <c r="B984" s="25">
        <v>46129.554511759256</v>
      </c>
      <c r="C984" s="21" t="s">
        <v>32</v>
      </c>
      <c r="D984" s="21" t="s">
        <v>3687</v>
      </c>
      <c r="E984" s="26" t="s">
        <v>3688</v>
      </c>
      <c r="F984" s="21" t="s">
        <v>18</v>
      </c>
      <c r="G984" s="21" t="s">
        <v>3689</v>
      </c>
      <c r="H984" s="21" t="s">
        <v>36</v>
      </c>
      <c r="I984" s="21" t="s">
        <v>3690</v>
      </c>
      <c r="K984" s="21">
        <v>1.39822120800277E14</v>
      </c>
      <c r="M984" s="15"/>
      <c r="N984" s="15"/>
      <c r="O984" s="15"/>
    </row>
    <row r="985" ht="22.5" customHeight="1">
      <c r="A985" s="32" t="str">
        <f t="shared" si="1"/>
        <v>4/2026</v>
      </c>
      <c r="B985" s="25">
        <v>46129.693718379625</v>
      </c>
      <c r="C985" s="21" t="s">
        <v>1181</v>
      </c>
      <c r="D985" s="21" t="s">
        <v>3691</v>
      </c>
      <c r="E985" s="26" t="s">
        <v>3692</v>
      </c>
      <c r="F985" s="21" t="s">
        <v>18</v>
      </c>
      <c r="G985" s="21" t="s">
        <v>3357</v>
      </c>
      <c r="H985" s="21" t="s">
        <v>36</v>
      </c>
      <c r="I985" s="21" t="s">
        <v>3693</v>
      </c>
      <c r="J985" s="21" t="s">
        <v>3694</v>
      </c>
      <c r="K985" s="21">
        <v>8.92824103000301E14</v>
      </c>
      <c r="L985" s="21">
        <v>17.0</v>
      </c>
      <c r="M985" s="15"/>
      <c r="N985" s="15"/>
      <c r="O985" s="15"/>
    </row>
    <row r="986" ht="22.5" customHeight="1">
      <c r="A986" s="32" t="str">
        <f t="shared" si="1"/>
        <v>4/2026</v>
      </c>
      <c r="B986" s="25">
        <v>46129.74307197917</v>
      </c>
      <c r="C986" s="21" t="s">
        <v>1181</v>
      </c>
      <c r="D986" s="21" t="s">
        <v>3695</v>
      </c>
      <c r="E986" s="26" t="s">
        <v>3696</v>
      </c>
      <c r="F986" s="21" t="s">
        <v>18</v>
      </c>
      <c r="G986" s="21" t="s">
        <v>3373</v>
      </c>
      <c r="H986" s="21" t="s">
        <v>36</v>
      </c>
      <c r="I986" s="21" t="s">
        <v>3697</v>
      </c>
      <c r="K986" s="21">
        <v>1.39823112300503E14</v>
      </c>
      <c r="L986" s="21">
        <v>20.0</v>
      </c>
      <c r="M986" s="15"/>
      <c r="N986" s="15"/>
      <c r="O986" s="15"/>
    </row>
    <row r="987" ht="22.5" customHeight="1">
      <c r="A987" s="32" t="str">
        <f t="shared" si="1"/>
        <v>4/2026</v>
      </c>
      <c r="B987" s="25">
        <v>46130.45165041667</v>
      </c>
      <c r="C987" s="21" t="s">
        <v>1890</v>
      </c>
      <c r="D987" s="21" t="s">
        <v>883</v>
      </c>
      <c r="E987" s="26" t="s">
        <v>3698</v>
      </c>
      <c r="F987" s="21" t="s">
        <v>1892</v>
      </c>
      <c r="G987" s="21" t="s">
        <v>3432</v>
      </c>
      <c r="H987" s="21" t="s">
        <v>36</v>
      </c>
      <c r="I987" s="21" t="s">
        <v>3699</v>
      </c>
      <c r="K987" s="21">
        <v>1.39824102800106E14</v>
      </c>
      <c r="L987" s="21">
        <v>15.0</v>
      </c>
      <c r="M987" s="15"/>
      <c r="N987" s="15"/>
      <c r="O987" s="15"/>
    </row>
    <row r="988" ht="22.5" customHeight="1">
      <c r="A988" s="32" t="str">
        <f t="shared" si="1"/>
        <v>4/2026</v>
      </c>
      <c r="B988" s="25">
        <v>46130.49356850694</v>
      </c>
      <c r="C988" s="21" t="s">
        <v>3186</v>
      </c>
      <c r="D988" s="21" t="s">
        <v>665</v>
      </c>
      <c r="E988" s="26" t="s">
        <v>3700</v>
      </c>
      <c r="F988" s="21" t="s">
        <v>18</v>
      </c>
      <c r="G988" s="21" t="s">
        <v>3701</v>
      </c>
      <c r="H988" s="21" t="s">
        <v>20</v>
      </c>
      <c r="I988" s="21" t="s">
        <v>3702</v>
      </c>
      <c r="J988" s="21" t="s">
        <v>3703</v>
      </c>
      <c r="K988" s="21">
        <v>1.8582602070012E14</v>
      </c>
      <c r="M988" s="15"/>
      <c r="N988" s="15"/>
      <c r="O988" s="15"/>
    </row>
    <row r="989" ht="22.5" customHeight="1">
      <c r="A989" s="32" t="str">
        <f t="shared" si="1"/>
        <v>4/2026</v>
      </c>
      <c r="B989" s="25">
        <v>46130.50388693287</v>
      </c>
      <c r="C989" s="21" t="s">
        <v>3704</v>
      </c>
      <c r="D989" s="21" t="s">
        <v>3705</v>
      </c>
      <c r="E989" s="26" t="s">
        <v>3706</v>
      </c>
      <c r="F989" s="21" t="s">
        <v>3707</v>
      </c>
      <c r="G989" s="21" t="s">
        <v>3451</v>
      </c>
      <c r="H989" s="21" t="s">
        <v>20</v>
      </c>
      <c r="I989" s="21" t="s">
        <v>3708</v>
      </c>
      <c r="K989" s="21">
        <v>1.84825082100124E14</v>
      </c>
      <c r="L989" s="21">
        <v>4.0</v>
      </c>
      <c r="M989" s="15"/>
      <c r="N989" s="15"/>
      <c r="O989" s="15"/>
    </row>
    <row r="990" ht="22.5" customHeight="1">
      <c r="A990" s="32" t="str">
        <f t="shared" si="1"/>
        <v>4/2026</v>
      </c>
      <c r="B990" s="25">
        <v>46130.56714240741</v>
      </c>
      <c r="C990" s="21" t="s">
        <v>618</v>
      </c>
      <c r="D990" s="21" t="s">
        <v>3709</v>
      </c>
      <c r="E990" s="26" t="s">
        <v>3710</v>
      </c>
      <c r="F990" s="21" t="s">
        <v>118</v>
      </c>
      <c r="G990" s="21" t="s">
        <v>3432</v>
      </c>
      <c r="H990" s="21" t="s">
        <v>36</v>
      </c>
      <c r="I990" s="21" t="s">
        <v>3711</v>
      </c>
      <c r="K990" s="21">
        <v>1.39824092700724E14</v>
      </c>
      <c r="L990" s="21">
        <v>16.0</v>
      </c>
      <c r="M990" s="15"/>
      <c r="N990" s="15"/>
      <c r="O990" s="15"/>
    </row>
    <row r="991" ht="22.5" customHeight="1">
      <c r="A991" s="32" t="str">
        <f t="shared" si="1"/>
        <v>4/2026</v>
      </c>
      <c r="B991" s="25">
        <v>46130.606382708334</v>
      </c>
      <c r="C991" s="21" t="s">
        <v>32</v>
      </c>
      <c r="D991" s="21" t="s">
        <v>692</v>
      </c>
      <c r="E991" s="26" t="s">
        <v>3712</v>
      </c>
      <c r="F991" s="21" t="s">
        <v>18</v>
      </c>
      <c r="G991" s="21" t="s">
        <v>3432</v>
      </c>
      <c r="H991" s="21" t="s">
        <v>36</v>
      </c>
      <c r="I991" s="21" t="s">
        <v>3713</v>
      </c>
      <c r="K991" s="21">
        <v>1.3982410280065E14</v>
      </c>
      <c r="M991" s="15"/>
      <c r="N991" s="15"/>
      <c r="O991" s="15"/>
    </row>
    <row r="992" ht="22.5" customHeight="1">
      <c r="A992" s="32" t="str">
        <f t="shared" si="1"/>
        <v>4/2026</v>
      </c>
      <c r="B992" s="25">
        <v>46130.712767731486</v>
      </c>
      <c r="C992" s="21" t="s">
        <v>32</v>
      </c>
      <c r="D992" s="21" t="s">
        <v>3714</v>
      </c>
      <c r="E992" s="26" t="s">
        <v>3715</v>
      </c>
      <c r="F992" s="21" t="s">
        <v>18</v>
      </c>
      <c r="G992" s="21" t="s">
        <v>3451</v>
      </c>
      <c r="H992" s="21" t="s">
        <v>20</v>
      </c>
      <c r="I992" s="21" t="s">
        <v>3716</v>
      </c>
      <c r="K992" s="21">
        <v>1.84825082100213E14</v>
      </c>
      <c r="M992" s="15"/>
      <c r="N992" s="15"/>
      <c r="O992" s="15"/>
    </row>
    <row r="993" ht="22.5" customHeight="1">
      <c r="A993" s="32" t="str">
        <f t="shared" si="1"/>
        <v>4/2026</v>
      </c>
      <c r="B993" s="25">
        <v>46130.71539814815</v>
      </c>
      <c r="C993" s="21" t="s">
        <v>32</v>
      </c>
      <c r="D993" s="21" t="s">
        <v>1145</v>
      </c>
      <c r="E993" s="26" t="s">
        <v>3717</v>
      </c>
      <c r="F993" s="21" t="s">
        <v>18</v>
      </c>
      <c r="G993" s="21" t="s">
        <v>3350</v>
      </c>
      <c r="H993" s="21" t="s">
        <v>36</v>
      </c>
      <c r="I993" s="21" t="s">
        <v>3718</v>
      </c>
      <c r="K993" s="21">
        <v>8.92820072100041E14</v>
      </c>
      <c r="L993" s="21">
        <v>20.0</v>
      </c>
      <c r="M993" s="15"/>
      <c r="N993" s="15"/>
      <c r="O993" s="15"/>
    </row>
    <row r="994" ht="22.5" customHeight="1">
      <c r="A994" s="32" t="str">
        <f t="shared" si="1"/>
        <v>4/2026</v>
      </c>
      <c r="B994" s="25">
        <v>46130.717971087965</v>
      </c>
      <c r="C994" s="21" t="s">
        <v>32</v>
      </c>
      <c r="D994" s="21" t="s">
        <v>3719</v>
      </c>
      <c r="E994" s="26" t="s">
        <v>3720</v>
      </c>
      <c r="F994" s="21" t="s">
        <v>18</v>
      </c>
      <c r="G994" s="21" t="s">
        <v>3350</v>
      </c>
      <c r="H994" s="21" t="s">
        <v>36</v>
      </c>
      <c r="I994" s="21" t="s">
        <v>3721</v>
      </c>
      <c r="J994" s="21" t="s">
        <v>3722</v>
      </c>
      <c r="K994" s="21">
        <v>1.19924110100113E14</v>
      </c>
      <c r="M994" s="15"/>
      <c r="N994" s="15"/>
      <c r="O994" s="15"/>
    </row>
    <row r="995" ht="22.5" customHeight="1">
      <c r="A995" s="32" t="str">
        <f t="shared" si="1"/>
        <v>4/2026</v>
      </c>
      <c r="B995" s="25">
        <v>46130.7198096412</v>
      </c>
      <c r="C995" s="21" t="s">
        <v>32</v>
      </c>
      <c r="D995" s="21" t="s">
        <v>3723</v>
      </c>
      <c r="E995" s="26" t="s">
        <v>3724</v>
      </c>
      <c r="F995" s="21" t="s">
        <v>18</v>
      </c>
      <c r="G995" s="21" t="s">
        <v>3350</v>
      </c>
      <c r="H995" s="21" t="s">
        <v>36</v>
      </c>
      <c r="I995" s="21" t="s">
        <v>3725</v>
      </c>
      <c r="K995" s="21">
        <v>1.1982309120009E14</v>
      </c>
      <c r="M995" s="15"/>
      <c r="N995" s="15"/>
      <c r="O995" s="15"/>
    </row>
    <row r="996" ht="22.5" customHeight="1">
      <c r="A996" s="32" t="str">
        <f t="shared" si="1"/>
        <v>4/2026</v>
      </c>
      <c r="B996" s="25">
        <v>46130.88490943287</v>
      </c>
      <c r="C996" s="21" t="s">
        <v>408</v>
      </c>
      <c r="D996" s="21" t="s">
        <v>3726</v>
      </c>
      <c r="E996" s="21">
        <v>9.81234885E8</v>
      </c>
      <c r="F996" s="21" t="s">
        <v>118</v>
      </c>
      <c r="G996" s="21" t="s">
        <v>291</v>
      </c>
      <c r="H996" s="21" t="s">
        <v>20</v>
      </c>
      <c r="I996" s="21" t="s">
        <v>3727</v>
      </c>
      <c r="J996" s="21" t="s">
        <v>3728</v>
      </c>
      <c r="K996" s="21">
        <v>1.85826020700033E14</v>
      </c>
      <c r="M996" s="15"/>
      <c r="N996" s="15"/>
      <c r="O996" s="15"/>
    </row>
    <row r="997" ht="22.5" customHeight="1">
      <c r="A997" s="32" t="str">
        <f t="shared" si="1"/>
        <v>4/2026</v>
      </c>
      <c r="B997" s="25">
        <v>46131.54844190972</v>
      </c>
      <c r="C997" s="21" t="s">
        <v>3008</v>
      </c>
      <c r="D997" s="21" t="s">
        <v>3729</v>
      </c>
      <c r="E997" s="26" t="s">
        <v>3730</v>
      </c>
      <c r="F997" s="21" t="s">
        <v>303</v>
      </c>
      <c r="G997" s="21" t="s">
        <v>291</v>
      </c>
      <c r="H997" s="21" t="s">
        <v>44</v>
      </c>
      <c r="I997" s="21" t="s">
        <v>3731</v>
      </c>
      <c r="K997" s="21">
        <v>1.85826020700036E14</v>
      </c>
      <c r="M997" s="15"/>
      <c r="N997" s="15"/>
      <c r="O997" s="15"/>
    </row>
    <row r="998" ht="22.5" customHeight="1">
      <c r="A998" s="32" t="str">
        <f t="shared" si="1"/>
        <v>4/2026</v>
      </c>
      <c r="B998" s="25">
        <v>46131.54986009259</v>
      </c>
      <c r="C998" s="21" t="s">
        <v>169</v>
      </c>
      <c r="D998" s="21" t="s">
        <v>2424</v>
      </c>
      <c r="E998" s="26" t="s">
        <v>2425</v>
      </c>
      <c r="F998" s="21" t="s">
        <v>404</v>
      </c>
      <c r="G998" s="21" t="s">
        <v>291</v>
      </c>
      <c r="H998" s="21" t="s">
        <v>721</v>
      </c>
      <c r="I998" s="21" t="s">
        <v>3732</v>
      </c>
      <c r="J998" s="21" t="s">
        <v>3733</v>
      </c>
      <c r="K998" s="21">
        <v>1.85825082200056E14</v>
      </c>
      <c r="L998" s="21">
        <v>120.0</v>
      </c>
      <c r="M998" s="15"/>
      <c r="N998" s="15"/>
      <c r="O998" s="15"/>
    </row>
    <row r="999" ht="22.5" customHeight="1">
      <c r="A999" s="32" t="str">
        <f t="shared" si="1"/>
        <v>4/2026</v>
      </c>
      <c r="B999" s="25">
        <v>46131.69825962963</v>
      </c>
      <c r="C999" s="21" t="s">
        <v>320</v>
      </c>
      <c r="D999" s="21" t="s">
        <v>3734</v>
      </c>
      <c r="E999" s="26" t="s">
        <v>3735</v>
      </c>
      <c r="F999" s="21" t="s">
        <v>812</v>
      </c>
      <c r="G999" s="21" t="s">
        <v>291</v>
      </c>
      <c r="H999" s="21" t="s">
        <v>20</v>
      </c>
      <c r="I999" s="21" t="s">
        <v>3736</v>
      </c>
      <c r="J999" s="21" t="s">
        <v>3737</v>
      </c>
      <c r="K999" s="21">
        <v>1.85826020700132E14</v>
      </c>
      <c r="M999" s="15"/>
      <c r="N999" s="15"/>
      <c r="O999" s="15"/>
    </row>
    <row r="1000" ht="22.5" customHeight="1">
      <c r="A1000" s="32" t="str">
        <f t="shared" si="1"/>
        <v>4/2026</v>
      </c>
      <c r="B1000" s="25">
        <v>46131.751349328704</v>
      </c>
      <c r="C1000" s="21" t="s">
        <v>386</v>
      </c>
      <c r="D1000" s="21" t="s">
        <v>3738</v>
      </c>
      <c r="E1000" s="26" t="s">
        <v>3739</v>
      </c>
      <c r="F1000" s="21" t="s">
        <v>18</v>
      </c>
      <c r="G1000" s="21" t="s">
        <v>3432</v>
      </c>
      <c r="H1000" s="21" t="s">
        <v>36</v>
      </c>
      <c r="I1000" s="21" t="s">
        <v>3740</v>
      </c>
      <c r="J1000" s="21" t="s">
        <v>3741</v>
      </c>
      <c r="K1000" s="21">
        <v>1.39823112300213E14</v>
      </c>
      <c r="M1000" s="15"/>
      <c r="N1000" s="15"/>
      <c r="O1000" s="15"/>
    </row>
    <row r="1001" ht="22.5" customHeight="1">
      <c r="A1001" s="32" t="str">
        <f t="shared" si="1"/>
        <v>4/2026</v>
      </c>
      <c r="B1001" s="25">
        <v>46131.8161640162</v>
      </c>
      <c r="C1001" s="21" t="s">
        <v>123</v>
      </c>
      <c r="D1001" s="21" t="s">
        <v>3742</v>
      </c>
      <c r="E1001" s="26" t="s">
        <v>3743</v>
      </c>
      <c r="F1001" s="21" t="s">
        <v>18</v>
      </c>
      <c r="G1001" s="21" t="s">
        <v>3689</v>
      </c>
      <c r="H1001" s="21" t="s">
        <v>36</v>
      </c>
      <c r="I1001" s="21" t="s">
        <v>3744</v>
      </c>
      <c r="K1001" s="21">
        <v>1.39822060400122E14</v>
      </c>
      <c r="M1001" s="15"/>
      <c r="N1001" s="15"/>
      <c r="O1001" s="15"/>
    </row>
    <row r="1002" ht="22.5" customHeight="1">
      <c r="A1002" s="32" t="str">
        <f t="shared" si="1"/>
        <v>4/2026</v>
      </c>
      <c r="B1002" s="25">
        <v>46131.82978601852</v>
      </c>
      <c r="C1002" s="21" t="s">
        <v>1181</v>
      </c>
      <c r="D1002" s="21" t="s">
        <v>3745</v>
      </c>
      <c r="E1002" s="26" t="s">
        <v>3746</v>
      </c>
      <c r="F1002" s="21" t="s">
        <v>18</v>
      </c>
      <c r="G1002" s="21" t="s">
        <v>3357</v>
      </c>
      <c r="H1002" s="21" t="s">
        <v>36</v>
      </c>
      <c r="I1002" s="21" t="s">
        <v>3747</v>
      </c>
      <c r="K1002" s="21">
        <v>8.92824103000367E14</v>
      </c>
      <c r="L1002" s="21">
        <v>1.0</v>
      </c>
      <c r="M1002" s="15"/>
      <c r="N1002" s="15"/>
      <c r="O1002" s="15"/>
    </row>
    <row r="1003" ht="22.5" customHeight="1">
      <c r="A1003" s="32" t="str">
        <f t="shared" si="1"/>
        <v>4/2026</v>
      </c>
      <c r="B1003" s="25">
        <v>46132.33808420139</v>
      </c>
      <c r="C1003" s="21" t="s">
        <v>308</v>
      </c>
      <c r="D1003" s="21" t="s">
        <v>3748</v>
      </c>
      <c r="E1003" s="26" t="s">
        <v>3749</v>
      </c>
      <c r="F1003" s="21" t="s">
        <v>106</v>
      </c>
      <c r="G1003" s="21" t="s">
        <v>3568</v>
      </c>
      <c r="H1003" s="21" t="s">
        <v>36</v>
      </c>
      <c r="I1003" s="21" t="s">
        <v>3750</v>
      </c>
      <c r="K1003" s="21">
        <v>8.92821012300163E14</v>
      </c>
      <c r="M1003" s="15"/>
      <c r="N1003" s="15"/>
      <c r="O1003" s="15"/>
    </row>
    <row r="1004" ht="22.5" customHeight="1">
      <c r="A1004" s="32" t="str">
        <f t="shared" si="1"/>
        <v>4/2026</v>
      </c>
      <c r="B1004" s="25">
        <v>46132.339727928236</v>
      </c>
      <c r="C1004" s="21" t="s">
        <v>308</v>
      </c>
      <c r="D1004" s="21" t="s">
        <v>3748</v>
      </c>
      <c r="E1004" s="26" t="s">
        <v>3749</v>
      </c>
      <c r="F1004" s="21" t="s">
        <v>106</v>
      </c>
      <c r="G1004" s="21" t="s">
        <v>3568</v>
      </c>
      <c r="H1004" s="21" t="s">
        <v>36</v>
      </c>
      <c r="I1004" s="21" t="s">
        <v>3751</v>
      </c>
      <c r="K1004" s="21">
        <v>8.92821042900371E14</v>
      </c>
      <c r="M1004" s="15"/>
      <c r="N1004" s="15"/>
      <c r="O1004" s="15"/>
    </row>
    <row r="1005" ht="22.5" customHeight="1">
      <c r="A1005" s="32" t="str">
        <f t="shared" si="1"/>
        <v>4/2026</v>
      </c>
      <c r="B1005" s="25">
        <v>46132.51621511574</v>
      </c>
      <c r="C1005" s="21" t="s">
        <v>103</v>
      </c>
      <c r="D1005" s="21" t="s">
        <v>3752</v>
      </c>
      <c r="E1005" s="21">
        <v>9.75947901E8</v>
      </c>
      <c r="F1005" s="21" t="s">
        <v>106</v>
      </c>
      <c r="G1005" s="21" t="s">
        <v>3373</v>
      </c>
      <c r="H1005" s="21" t="s">
        <v>36</v>
      </c>
      <c r="I1005" s="21" t="s">
        <v>3753</v>
      </c>
      <c r="J1005" s="21" t="s">
        <v>3754</v>
      </c>
      <c r="K1005" s="21">
        <v>1.39824102800615E14</v>
      </c>
      <c r="M1005" s="15"/>
      <c r="N1005" s="15"/>
      <c r="O1005" s="15"/>
    </row>
    <row r="1006" ht="22.5" customHeight="1">
      <c r="A1006" s="32" t="str">
        <f t="shared" si="1"/>
        <v>4/2026</v>
      </c>
      <c r="B1006" s="25">
        <v>46132.69122951389</v>
      </c>
      <c r="C1006" s="21" t="s">
        <v>3186</v>
      </c>
      <c r="D1006" s="21" t="s">
        <v>3755</v>
      </c>
      <c r="E1006" s="26" t="s">
        <v>3756</v>
      </c>
      <c r="F1006" s="21" t="s">
        <v>18</v>
      </c>
      <c r="G1006" s="21" t="s">
        <v>3373</v>
      </c>
      <c r="H1006" s="21" t="s">
        <v>36</v>
      </c>
      <c r="I1006" s="21" t="s">
        <v>3757</v>
      </c>
      <c r="J1006" s="21" t="s">
        <v>366</v>
      </c>
      <c r="K1006" s="21">
        <v>1.39824102800051E14</v>
      </c>
      <c r="M1006" s="15"/>
      <c r="N1006" s="15"/>
      <c r="O1006" s="15"/>
    </row>
    <row r="1007" ht="22.5" customHeight="1">
      <c r="A1007" s="32" t="str">
        <f t="shared" si="1"/>
        <v>4/2026</v>
      </c>
      <c r="B1007" s="25">
        <v>46132.71865340278</v>
      </c>
      <c r="C1007" s="21" t="s">
        <v>32</v>
      </c>
      <c r="D1007" s="21" t="s">
        <v>413</v>
      </c>
      <c r="E1007" s="26" t="s">
        <v>414</v>
      </c>
      <c r="F1007" s="21" t="s">
        <v>18</v>
      </c>
      <c r="G1007" s="21" t="s">
        <v>3350</v>
      </c>
      <c r="H1007" s="21" t="s">
        <v>36</v>
      </c>
      <c r="I1007" s="21" t="s">
        <v>3758</v>
      </c>
      <c r="K1007" s="21">
        <v>1.19823021300189E14</v>
      </c>
      <c r="M1007" s="15"/>
      <c r="N1007" s="15"/>
      <c r="O1007" s="15"/>
    </row>
    <row r="1008" ht="22.5" customHeight="1">
      <c r="A1008" s="32" t="str">
        <f t="shared" si="1"/>
        <v>4/2026</v>
      </c>
      <c r="B1008" s="25">
        <v>46132.75546891204</v>
      </c>
      <c r="C1008" s="21" t="s">
        <v>115</v>
      </c>
      <c r="D1008" s="21" t="s">
        <v>282</v>
      </c>
      <c r="E1008" s="26" t="s">
        <v>3759</v>
      </c>
      <c r="F1008" s="21" t="s">
        <v>118</v>
      </c>
      <c r="G1008" s="21" t="s">
        <v>3357</v>
      </c>
      <c r="H1008" s="21" t="s">
        <v>36</v>
      </c>
      <c r="I1008" s="21" t="s">
        <v>3760</v>
      </c>
      <c r="J1008" s="21" t="s">
        <v>965</v>
      </c>
      <c r="K1008" s="21" t="s">
        <v>122</v>
      </c>
      <c r="M1008" s="15"/>
      <c r="N1008" s="15"/>
      <c r="O1008" s="15"/>
    </row>
    <row r="1009" ht="22.5" customHeight="1">
      <c r="A1009" s="32" t="str">
        <f t="shared" si="1"/>
        <v>4/2026</v>
      </c>
      <c r="B1009" s="25">
        <v>46132.75666322917</v>
      </c>
      <c r="C1009" s="21" t="s">
        <v>115</v>
      </c>
      <c r="D1009" s="21" t="s">
        <v>3761</v>
      </c>
      <c r="E1009" s="26" t="s">
        <v>3762</v>
      </c>
      <c r="F1009" s="21" t="s">
        <v>118</v>
      </c>
      <c r="G1009" s="21" t="s">
        <v>3357</v>
      </c>
      <c r="H1009" s="21" t="s">
        <v>36</v>
      </c>
      <c r="I1009" s="21" t="s">
        <v>3763</v>
      </c>
      <c r="J1009" s="21" t="s">
        <v>965</v>
      </c>
      <c r="K1009" s="21" t="s">
        <v>122</v>
      </c>
      <c r="M1009" s="15"/>
      <c r="N1009" s="15"/>
      <c r="O1009" s="15"/>
    </row>
    <row r="1010" ht="22.5" customHeight="1">
      <c r="A1010" s="32" t="str">
        <f t="shared" si="1"/>
        <v>4/2026</v>
      </c>
      <c r="B1010" s="25">
        <v>46132.75827604167</v>
      </c>
      <c r="C1010" s="21" t="s">
        <v>115</v>
      </c>
      <c r="D1010" s="21" t="s">
        <v>924</v>
      </c>
      <c r="E1010" s="26" t="s">
        <v>925</v>
      </c>
      <c r="F1010" s="21" t="s">
        <v>118</v>
      </c>
      <c r="G1010" s="21" t="s">
        <v>3764</v>
      </c>
      <c r="H1010" s="21" t="s">
        <v>36</v>
      </c>
      <c r="I1010" s="21" t="s">
        <v>3765</v>
      </c>
      <c r="J1010" s="21" t="s">
        <v>3766</v>
      </c>
      <c r="K1010" s="21" t="s">
        <v>122</v>
      </c>
      <c r="M1010" s="15"/>
      <c r="N1010" s="15"/>
      <c r="O1010" s="15"/>
    </row>
    <row r="1011" ht="22.5" customHeight="1">
      <c r="A1011" s="32" t="str">
        <f t="shared" si="1"/>
        <v>4/2026</v>
      </c>
      <c r="B1011" s="25">
        <v>46132.759275868055</v>
      </c>
      <c r="C1011" s="21" t="s">
        <v>115</v>
      </c>
      <c r="D1011" s="21" t="s">
        <v>1027</v>
      </c>
      <c r="E1011" s="26" t="s">
        <v>1753</v>
      </c>
      <c r="F1011" s="21" t="s">
        <v>118</v>
      </c>
      <c r="G1011" s="21" t="s">
        <v>291</v>
      </c>
      <c r="H1011" s="21" t="s">
        <v>141</v>
      </c>
      <c r="I1011" s="29" t="s">
        <v>3767</v>
      </c>
      <c r="J1011" s="21" t="s">
        <v>3768</v>
      </c>
      <c r="K1011" s="21" t="s">
        <v>122</v>
      </c>
      <c r="M1011" s="15"/>
      <c r="N1011" s="15"/>
      <c r="O1011" s="15"/>
    </row>
    <row r="1012" ht="22.5" customHeight="1">
      <c r="A1012" s="32" t="str">
        <f t="shared" si="1"/>
        <v>4/2026</v>
      </c>
      <c r="B1012" s="25">
        <v>46132.89036560185</v>
      </c>
      <c r="C1012" s="21" t="s">
        <v>22</v>
      </c>
      <c r="D1012" s="21" t="s">
        <v>3769</v>
      </c>
      <c r="E1012" s="26" t="s">
        <v>3770</v>
      </c>
      <c r="F1012" s="21" t="s">
        <v>18</v>
      </c>
      <c r="G1012" s="21" t="s">
        <v>291</v>
      </c>
      <c r="H1012" s="21" t="s">
        <v>44</v>
      </c>
      <c r="I1012" s="21" t="s">
        <v>3771</v>
      </c>
      <c r="J1012" s="21" t="s">
        <v>3772</v>
      </c>
      <c r="K1012" s="21">
        <v>1.85826020700088E14</v>
      </c>
      <c r="M1012" s="15"/>
      <c r="N1012" s="15"/>
      <c r="O1012" s="15"/>
    </row>
    <row r="1013" ht="22.5" customHeight="1">
      <c r="A1013" s="32" t="str">
        <f t="shared" si="1"/>
        <v>4/2026</v>
      </c>
      <c r="B1013" s="25">
        <v>46132.89333594908</v>
      </c>
      <c r="C1013" s="21" t="s">
        <v>22</v>
      </c>
      <c r="D1013" s="21" t="s">
        <v>3769</v>
      </c>
      <c r="E1013" s="26" t="s">
        <v>3770</v>
      </c>
      <c r="F1013" s="21" t="s">
        <v>18</v>
      </c>
      <c r="G1013" s="21" t="s">
        <v>291</v>
      </c>
      <c r="H1013" s="21" t="s">
        <v>44</v>
      </c>
      <c r="I1013" s="21" t="s">
        <v>3773</v>
      </c>
      <c r="K1013" s="21">
        <v>1.85826020700104E14</v>
      </c>
      <c r="M1013" s="15"/>
      <c r="N1013" s="15"/>
      <c r="O1013" s="15"/>
    </row>
    <row r="1014" ht="22.5" customHeight="1">
      <c r="A1014" s="32" t="str">
        <f t="shared" si="1"/>
        <v>4/2026</v>
      </c>
      <c r="B1014" s="25">
        <v>46133.395313692134</v>
      </c>
      <c r="C1014" s="21" t="s">
        <v>51</v>
      </c>
      <c r="D1014" s="21" t="s">
        <v>692</v>
      </c>
      <c r="E1014" s="26" t="s">
        <v>3774</v>
      </c>
      <c r="F1014" s="21" t="s">
        <v>18</v>
      </c>
      <c r="G1014" s="21" t="s">
        <v>3451</v>
      </c>
      <c r="H1014" s="21" t="s">
        <v>20</v>
      </c>
      <c r="I1014" s="21" t="s">
        <v>3775</v>
      </c>
      <c r="K1014" s="21">
        <v>1.84825123100304E14</v>
      </c>
      <c r="M1014" s="15"/>
      <c r="N1014" s="15"/>
      <c r="O1014" s="15"/>
    </row>
    <row r="1015" ht="22.5" customHeight="1">
      <c r="A1015" s="32" t="str">
        <f t="shared" si="1"/>
        <v>4/2026</v>
      </c>
      <c r="B1015" s="25">
        <v>46133.57350061343</v>
      </c>
      <c r="C1015" s="21" t="s">
        <v>1181</v>
      </c>
      <c r="D1015" s="21" t="s">
        <v>3776</v>
      </c>
      <c r="E1015" s="26" t="s">
        <v>3777</v>
      </c>
      <c r="F1015" s="21" t="s">
        <v>18</v>
      </c>
      <c r="G1015" s="21" t="s">
        <v>3399</v>
      </c>
      <c r="H1015" s="21" t="s">
        <v>141</v>
      </c>
      <c r="I1015" s="29" t="s">
        <v>3778</v>
      </c>
      <c r="J1015" s="21" t="s">
        <v>3779</v>
      </c>
      <c r="K1015" s="21">
        <v>1.83825082100014E14</v>
      </c>
      <c r="L1015" s="21">
        <v>12.0</v>
      </c>
      <c r="M1015" s="15"/>
      <c r="N1015" s="15"/>
      <c r="O1015" s="15"/>
    </row>
    <row r="1016" ht="22.5" customHeight="1">
      <c r="A1016" s="32" t="str">
        <f t="shared" si="1"/>
        <v>4/2026</v>
      </c>
      <c r="B1016" s="25">
        <v>46133.78421871528</v>
      </c>
      <c r="C1016" s="21" t="s">
        <v>32</v>
      </c>
      <c r="D1016" s="21" t="s">
        <v>3780</v>
      </c>
      <c r="E1016" s="26" t="s">
        <v>3781</v>
      </c>
      <c r="F1016" s="21" t="s">
        <v>18</v>
      </c>
      <c r="G1016" s="21" t="s">
        <v>3782</v>
      </c>
      <c r="H1016" s="21" t="s">
        <v>36</v>
      </c>
      <c r="I1016" s="21" t="s">
        <v>3783</v>
      </c>
      <c r="K1016" s="21">
        <v>8.92822070100167E14</v>
      </c>
      <c r="M1016" s="15"/>
      <c r="N1016" s="15"/>
      <c r="O1016" s="15"/>
    </row>
    <row r="1017" ht="22.5" customHeight="1">
      <c r="A1017" s="32" t="str">
        <f t="shared" si="1"/>
        <v>4/2026</v>
      </c>
      <c r="B1017" s="25">
        <v>46134.41076074074</v>
      </c>
      <c r="C1017" s="21" t="s">
        <v>287</v>
      </c>
      <c r="D1017" s="21" t="s">
        <v>2461</v>
      </c>
      <c r="E1017" s="26" t="s">
        <v>3784</v>
      </c>
      <c r="F1017" s="21" t="s">
        <v>482</v>
      </c>
      <c r="G1017" s="21" t="s">
        <v>3432</v>
      </c>
      <c r="H1017" s="21" t="s">
        <v>36</v>
      </c>
      <c r="I1017" s="21" t="s">
        <v>3785</v>
      </c>
      <c r="K1017" s="21">
        <v>1.39824102800461E14</v>
      </c>
      <c r="M1017" s="15"/>
      <c r="N1017" s="15"/>
      <c r="O1017" s="15"/>
    </row>
    <row r="1018" ht="22.5" customHeight="1">
      <c r="A1018" s="32" t="str">
        <f t="shared" si="1"/>
        <v>4/2026</v>
      </c>
      <c r="B1018" s="25">
        <v>46134.44233172454</v>
      </c>
      <c r="C1018" s="21" t="s">
        <v>3786</v>
      </c>
      <c r="D1018" s="21" t="s">
        <v>3787</v>
      </c>
      <c r="E1018" s="26" t="s">
        <v>3788</v>
      </c>
      <c r="F1018" s="21" t="s">
        <v>18</v>
      </c>
      <c r="G1018" s="21" t="s">
        <v>291</v>
      </c>
      <c r="H1018" s="21" t="s">
        <v>20</v>
      </c>
      <c r="I1018" s="21" t="s">
        <v>3789</v>
      </c>
      <c r="K1018" s="21">
        <v>1.8582602070004E14</v>
      </c>
      <c r="M1018" s="15"/>
      <c r="N1018" s="15"/>
      <c r="O1018" s="15"/>
    </row>
    <row r="1019" ht="22.5" customHeight="1">
      <c r="A1019" s="32" t="str">
        <f t="shared" si="1"/>
        <v>4/2026</v>
      </c>
      <c r="B1019" s="25">
        <v>46134.44595552083</v>
      </c>
      <c r="C1019" s="21" t="s">
        <v>3786</v>
      </c>
      <c r="D1019" s="21" t="s">
        <v>327</v>
      </c>
      <c r="E1019" s="26" t="s">
        <v>3790</v>
      </c>
      <c r="F1019" s="21" t="s">
        <v>18</v>
      </c>
      <c r="G1019" s="21" t="s">
        <v>3501</v>
      </c>
      <c r="H1019" s="21" t="s">
        <v>36</v>
      </c>
      <c r="I1019" s="21" t="s">
        <v>3791</v>
      </c>
      <c r="K1019" s="21" t="s">
        <v>1609</v>
      </c>
      <c r="M1019" s="15"/>
      <c r="N1019" s="15"/>
      <c r="O1019" s="15"/>
    </row>
    <row r="1020" ht="22.5" customHeight="1">
      <c r="A1020" s="32" t="str">
        <f t="shared" si="1"/>
        <v>4/2026</v>
      </c>
      <c r="B1020" s="25">
        <v>46134.44809179398</v>
      </c>
      <c r="C1020" s="21" t="s">
        <v>3786</v>
      </c>
      <c r="D1020" s="21" t="s">
        <v>3792</v>
      </c>
      <c r="E1020" s="26" t="s">
        <v>3793</v>
      </c>
      <c r="F1020" s="21" t="s">
        <v>18</v>
      </c>
      <c r="G1020" s="21" t="s">
        <v>3357</v>
      </c>
      <c r="H1020" s="21" t="s">
        <v>36</v>
      </c>
      <c r="I1020" s="21" t="s">
        <v>3794</v>
      </c>
      <c r="K1020" s="21">
        <v>1.19824092811191E14</v>
      </c>
      <c r="M1020" s="15"/>
      <c r="N1020" s="15"/>
      <c r="O1020" s="15"/>
    </row>
    <row r="1021" ht="22.5" customHeight="1">
      <c r="A1021" s="32" t="str">
        <f t="shared" si="1"/>
        <v>4/2026</v>
      </c>
      <c r="B1021" s="25">
        <v>46134.475164143514</v>
      </c>
      <c r="C1021" s="21" t="s">
        <v>103</v>
      </c>
      <c r="D1021" s="21" t="s">
        <v>3795</v>
      </c>
      <c r="E1021" s="26" t="s">
        <v>3796</v>
      </c>
      <c r="F1021" s="21" t="s">
        <v>106</v>
      </c>
      <c r="G1021" s="21" t="s">
        <v>3432</v>
      </c>
      <c r="H1021" s="21" t="s">
        <v>36</v>
      </c>
      <c r="I1021" s="21" t="s">
        <v>3797</v>
      </c>
      <c r="J1021" s="21" t="s">
        <v>3798</v>
      </c>
      <c r="K1021" s="21" t="s">
        <v>122</v>
      </c>
      <c r="L1021" s="21">
        <v>35.0</v>
      </c>
      <c r="M1021" s="15"/>
      <c r="N1021" s="15"/>
      <c r="O1021" s="15"/>
    </row>
    <row r="1022" ht="22.5" customHeight="1">
      <c r="A1022" s="32" t="str">
        <f t="shared" si="1"/>
        <v>4/2026</v>
      </c>
      <c r="B1022" s="25">
        <v>46134.53022672454</v>
      </c>
      <c r="C1022" s="21" t="s">
        <v>214</v>
      </c>
      <c r="D1022" s="21" t="s">
        <v>3799</v>
      </c>
      <c r="E1022" s="26" t="s">
        <v>3800</v>
      </c>
      <c r="F1022" s="21" t="s">
        <v>18</v>
      </c>
      <c r="G1022" s="21" t="s">
        <v>3357</v>
      </c>
      <c r="H1022" s="21" t="s">
        <v>36</v>
      </c>
      <c r="I1022" s="21" t="s">
        <v>3801</v>
      </c>
      <c r="K1022" s="21">
        <v>1.19824110100245E14</v>
      </c>
      <c r="M1022" s="15"/>
      <c r="N1022" s="15"/>
      <c r="O1022" s="15"/>
    </row>
    <row r="1023" ht="22.5" customHeight="1">
      <c r="A1023" s="32" t="str">
        <f t="shared" si="1"/>
        <v>4/2026</v>
      </c>
      <c r="B1023" s="25">
        <v>46134.69734508102</v>
      </c>
      <c r="C1023" s="21" t="s">
        <v>239</v>
      </c>
      <c r="D1023" s="21" t="s">
        <v>3802</v>
      </c>
      <c r="E1023" s="26" t="s">
        <v>3777</v>
      </c>
      <c r="F1023" s="21" t="s">
        <v>242</v>
      </c>
      <c r="G1023" s="21" t="s">
        <v>3399</v>
      </c>
      <c r="H1023" s="21" t="s">
        <v>20</v>
      </c>
      <c r="I1023" s="21" t="s">
        <v>3803</v>
      </c>
      <c r="K1023" s="21">
        <v>1.83825082100014E14</v>
      </c>
      <c r="M1023" s="15"/>
      <c r="N1023" s="15"/>
      <c r="O1023" s="15"/>
    </row>
    <row r="1024" ht="22.5" customHeight="1">
      <c r="A1024" s="32" t="str">
        <f t="shared" si="1"/>
        <v>4/2026</v>
      </c>
      <c r="B1024" s="25">
        <v>46134.73196488426</v>
      </c>
      <c r="C1024" s="21" t="s">
        <v>32</v>
      </c>
      <c r="D1024" s="21" t="s">
        <v>3804</v>
      </c>
      <c r="E1024" s="26" t="s">
        <v>3805</v>
      </c>
      <c r="F1024" s="21" t="s">
        <v>18</v>
      </c>
      <c r="G1024" s="21" t="s">
        <v>3432</v>
      </c>
      <c r="H1024" s="21" t="s">
        <v>36</v>
      </c>
      <c r="I1024" s="21" t="s">
        <v>3806</v>
      </c>
      <c r="K1024" s="21">
        <v>1.39824092700068E14</v>
      </c>
      <c r="M1024" s="15"/>
      <c r="N1024" s="15"/>
      <c r="O1024" s="15"/>
    </row>
    <row r="1025" ht="22.5" customHeight="1">
      <c r="A1025" s="32" t="str">
        <f t="shared" si="1"/>
        <v>4/2026</v>
      </c>
      <c r="B1025" s="25">
        <v>46134.8747749537</v>
      </c>
      <c r="C1025" s="21" t="s">
        <v>77</v>
      </c>
      <c r="D1025" s="21" t="s">
        <v>3807</v>
      </c>
      <c r="E1025" s="26" t="s">
        <v>3808</v>
      </c>
      <c r="F1025" s="21" t="s">
        <v>64</v>
      </c>
      <c r="G1025" s="21" t="s">
        <v>3689</v>
      </c>
      <c r="H1025" s="21" t="s">
        <v>36</v>
      </c>
      <c r="I1025" s="29" t="s">
        <v>3809</v>
      </c>
      <c r="K1025" s="21">
        <v>1.39822120800176E14</v>
      </c>
      <c r="M1025" s="15"/>
      <c r="N1025" s="15"/>
      <c r="O1025" s="15"/>
    </row>
    <row r="1026" ht="22.5" customHeight="1">
      <c r="A1026" s="32" t="str">
        <f t="shared" si="1"/>
        <v>4/2026</v>
      </c>
      <c r="B1026" s="25">
        <v>46135.40323109954</v>
      </c>
      <c r="C1026" s="21" t="s">
        <v>1181</v>
      </c>
      <c r="D1026" s="21" t="s">
        <v>3810</v>
      </c>
      <c r="E1026" s="26" t="s">
        <v>3811</v>
      </c>
      <c r="F1026" s="21" t="s">
        <v>18</v>
      </c>
      <c r="G1026" s="21" t="s">
        <v>3812</v>
      </c>
      <c r="H1026" s="21" t="s">
        <v>141</v>
      </c>
      <c r="I1026" s="21" t="s">
        <v>3813</v>
      </c>
      <c r="J1026" s="21" t="s">
        <v>3814</v>
      </c>
      <c r="K1026" s="21" t="s">
        <v>55</v>
      </c>
      <c r="L1026" s="21">
        <v>27.0</v>
      </c>
      <c r="M1026" s="15"/>
      <c r="N1026" s="15"/>
      <c r="O1026" s="15"/>
    </row>
    <row r="1027" ht="22.5" customHeight="1">
      <c r="A1027" s="32" t="str">
        <f t="shared" si="1"/>
        <v>4/2026</v>
      </c>
      <c r="B1027" s="25">
        <v>46135.46243673611</v>
      </c>
      <c r="C1027" s="21" t="s">
        <v>1181</v>
      </c>
      <c r="D1027" s="21" t="s">
        <v>508</v>
      </c>
      <c r="E1027" s="26" t="s">
        <v>3815</v>
      </c>
      <c r="F1027" s="21" t="s">
        <v>18</v>
      </c>
      <c r="G1027" s="21" t="s">
        <v>3812</v>
      </c>
      <c r="H1027" s="21" t="s">
        <v>36</v>
      </c>
      <c r="I1027" s="21" t="s">
        <v>3816</v>
      </c>
      <c r="K1027" s="21">
        <v>8.92822070100055E14</v>
      </c>
      <c r="L1027" s="21">
        <v>99.0</v>
      </c>
      <c r="M1027" s="15"/>
      <c r="N1027" s="15"/>
      <c r="O1027" s="15"/>
    </row>
    <row r="1028" ht="22.5" customHeight="1">
      <c r="A1028" s="32" t="str">
        <f t="shared" si="1"/>
        <v>4/2026</v>
      </c>
      <c r="B1028" s="25">
        <v>46135.77159697917</v>
      </c>
      <c r="C1028" s="21" t="s">
        <v>3008</v>
      </c>
      <c r="D1028" s="21" t="s">
        <v>3817</v>
      </c>
      <c r="E1028" s="26" t="s">
        <v>3818</v>
      </c>
      <c r="F1028" s="21" t="s">
        <v>303</v>
      </c>
      <c r="G1028" s="21" t="s">
        <v>291</v>
      </c>
      <c r="H1028" s="21" t="s">
        <v>44</v>
      </c>
      <c r="I1028" s="21" t="s">
        <v>3819</v>
      </c>
      <c r="K1028" s="21">
        <v>1.85826020700094E14</v>
      </c>
      <c r="M1028" s="15"/>
      <c r="N1028" s="15"/>
      <c r="O1028" s="15"/>
    </row>
    <row r="1029" ht="22.5" customHeight="1">
      <c r="A1029" s="32" t="str">
        <f t="shared" si="1"/>
        <v>4/2026</v>
      </c>
      <c r="B1029" s="25">
        <v>46135.78153565973</v>
      </c>
      <c r="C1029" s="21" t="s">
        <v>56</v>
      </c>
      <c r="D1029" s="21" t="s">
        <v>3820</v>
      </c>
      <c r="E1029" s="26" t="s">
        <v>3821</v>
      </c>
      <c r="F1029" s="21" t="s">
        <v>18</v>
      </c>
      <c r="G1029" s="21" t="s">
        <v>291</v>
      </c>
      <c r="H1029" s="21" t="s">
        <v>20</v>
      </c>
      <c r="I1029" s="21" t="s">
        <v>3822</v>
      </c>
      <c r="K1029" s="21" t="s">
        <v>3823</v>
      </c>
      <c r="M1029" s="15"/>
      <c r="N1029" s="15"/>
      <c r="O1029" s="15"/>
    </row>
    <row r="1030" ht="22.5" customHeight="1">
      <c r="A1030" s="32" t="str">
        <f t="shared" si="1"/>
        <v>4/2026</v>
      </c>
      <c r="B1030" s="25">
        <v>46135.78402166667</v>
      </c>
      <c r="C1030" s="21" t="s">
        <v>56</v>
      </c>
      <c r="D1030" s="21" t="s">
        <v>3824</v>
      </c>
      <c r="E1030" s="26" t="s">
        <v>3825</v>
      </c>
      <c r="F1030" s="21" t="s">
        <v>18</v>
      </c>
      <c r="G1030" s="21" t="s">
        <v>291</v>
      </c>
      <c r="H1030" s="21" t="s">
        <v>20</v>
      </c>
      <c r="I1030" s="21" t="s">
        <v>3826</v>
      </c>
      <c r="K1030" s="21" t="s">
        <v>3827</v>
      </c>
      <c r="M1030" s="15"/>
      <c r="N1030" s="15"/>
      <c r="O1030" s="15"/>
    </row>
    <row r="1031" ht="22.5" customHeight="1">
      <c r="A1031" s="32" t="str">
        <f t="shared" si="1"/>
        <v>4/2026</v>
      </c>
      <c r="B1031" s="25">
        <v>46136.40979868056</v>
      </c>
      <c r="C1031" s="21" t="s">
        <v>115</v>
      </c>
      <c r="D1031" s="21" t="s">
        <v>3828</v>
      </c>
      <c r="E1031" s="26" t="s">
        <v>3829</v>
      </c>
      <c r="F1031" s="21" t="s">
        <v>118</v>
      </c>
      <c r="G1031" s="21" t="s">
        <v>3357</v>
      </c>
      <c r="H1031" s="21" t="s">
        <v>36</v>
      </c>
      <c r="I1031" s="21" t="s">
        <v>3830</v>
      </c>
      <c r="J1031" s="21" t="s">
        <v>965</v>
      </c>
      <c r="K1031" s="21" t="s">
        <v>122</v>
      </c>
      <c r="M1031" s="15"/>
      <c r="N1031" s="15"/>
      <c r="O1031" s="15"/>
    </row>
    <row r="1032" ht="22.5" customHeight="1">
      <c r="A1032" s="32" t="str">
        <f t="shared" si="1"/>
        <v>4/2026</v>
      </c>
      <c r="B1032" s="25">
        <v>46136.41084996528</v>
      </c>
      <c r="C1032" s="21" t="s">
        <v>115</v>
      </c>
      <c r="D1032" s="21" t="s">
        <v>3831</v>
      </c>
      <c r="E1032" s="26" t="s">
        <v>3832</v>
      </c>
      <c r="F1032" s="21" t="s">
        <v>118</v>
      </c>
      <c r="G1032" s="21" t="s">
        <v>3350</v>
      </c>
      <c r="H1032" s="21" t="s">
        <v>36</v>
      </c>
      <c r="I1032" s="21" t="s">
        <v>3833</v>
      </c>
      <c r="J1032" s="21" t="s">
        <v>965</v>
      </c>
      <c r="K1032" s="21" t="s">
        <v>122</v>
      </c>
      <c r="M1032" s="15"/>
      <c r="N1032" s="15"/>
      <c r="O1032" s="15"/>
    </row>
    <row r="1033" ht="22.5" customHeight="1">
      <c r="A1033" s="32" t="str">
        <f t="shared" si="1"/>
        <v>4/2026</v>
      </c>
      <c r="B1033" s="25">
        <v>46136.411872013894</v>
      </c>
      <c r="C1033" s="21" t="s">
        <v>115</v>
      </c>
      <c r="D1033" s="21" t="s">
        <v>3834</v>
      </c>
      <c r="E1033" s="26" t="s">
        <v>3835</v>
      </c>
      <c r="F1033" s="21" t="s">
        <v>118</v>
      </c>
      <c r="G1033" s="21" t="s">
        <v>3530</v>
      </c>
      <c r="H1033" s="21" t="s">
        <v>36</v>
      </c>
      <c r="I1033" s="21" t="s">
        <v>3836</v>
      </c>
      <c r="J1033" s="21" t="s">
        <v>965</v>
      </c>
      <c r="K1033" s="21" t="s">
        <v>122</v>
      </c>
      <c r="M1033" s="15"/>
      <c r="N1033" s="15"/>
      <c r="O1033" s="15"/>
    </row>
    <row r="1034" ht="22.5" customHeight="1">
      <c r="A1034" s="32" t="str">
        <f t="shared" si="1"/>
        <v>4/2026</v>
      </c>
      <c r="B1034" s="25">
        <v>46136.41380864583</v>
      </c>
      <c r="C1034" s="21" t="s">
        <v>115</v>
      </c>
      <c r="D1034" s="21" t="s">
        <v>753</v>
      </c>
      <c r="E1034" s="26" t="s">
        <v>754</v>
      </c>
      <c r="F1034" s="21" t="s">
        <v>118</v>
      </c>
      <c r="G1034" s="21" t="s">
        <v>291</v>
      </c>
      <c r="H1034" s="21" t="s">
        <v>141</v>
      </c>
      <c r="I1034" s="21" t="s">
        <v>3837</v>
      </c>
      <c r="J1034" s="21" t="s">
        <v>3838</v>
      </c>
      <c r="K1034" s="21" t="s">
        <v>122</v>
      </c>
      <c r="M1034" s="15"/>
      <c r="N1034" s="15"/>
      <c r="O1034" s="15"/>
    </row>
    <row r="1035" ht="22.5" customHeight="1">
      <c r="A1035" s="32" t="str">
        <f t="shared" si="1"/>
        <v>4/2026</v>
      </c>
      <c r="B1035" s="25">
        <v>46136.41670244213</v>
      </c>
      <c r="C1035" s="21" t="s">
        <v>115</v>
      </c>
      <c r="D1035" s="21" t="s">
        <v>3216</v>
      </c>
      <c r="E1035" s="21">
        <v>9.61256686E8</v>
      </c>
      <c r="F1035" s="21" t="s">
        <v>118</v>
      </c>
      <c r="G1035" s="21" t="s">
        <v>3839</v>
      </c>
      <c r="H1035" s="21" t="s">
        <v>537</v>
      </c>
      <c r="I1035" s="21" t="s">
        <v>3840</v>
      </c>
      <c r="J1035" s="21" t="s">
        <v>3841</v>
      </c>
      <c r="K1035" s="21" t="s">
        <v>122</v>
      </c>
      <c r="M1035" s="15"/>
      <c r="N1035" s="15"/>
      <c r="O1035" s="15"/>
    </row>
    <row r="1036" ht="22.5" customHeight="1">
      <c r="A1036" s="32" t="str">
        <f t="shared" si="1"/>
        <v>4/2026</v>
      </c>
      <c r="B1036" s="25">
        <v>46136.51919924769</v>
      </c>
      <c r="C1036" s="21" t="s">
        <v>22</v>
      </c>
      <c r="D1036" s="21" t="s">
        <v>3842</v>
      </c>
      <c r="E1036" s="26" t="s">
        <v>3843</v>
      </c>
      <c r="F1036" s="21" t="s">
        <v>18</v>
      </c>
      <c r="G1036" s="21" t="s">
        <v>3451</v>
      </c>
      <c r="H1036" s="21" t="s">
        <v>425</v>
      </c>
      <c r="I1036" s="21" t="s">
        <v>3844</v>
      </c>
      <c r="J1036" s="21" t="s">
        <v>3845</v>
      </c>
      <c r="K1036" s="21">
        <v>1.84825082100208E14</v>
      </c>
      <c r="M1036" s="15"/>
      <c r="N1036" s="15"/>
      <c r="O1036" s="15"/>
    </row>
    <row r="1037" ht="22.5" customHeight="1">
      <c r="A1037" s="32" t="str">
        <f t="shared" si="1"/>
        <v>4/2026</v>
      </c>
      <c r="B1037" s="25">
        <v>46136.54049756944</v>
      </c>
      <c r="C1037" s="21" t="s">
        <v>32</v>
      </c>
      <c r="D1037" s="21" t="s">
        <v>3846</v>
      </c>
      <c r="E1037" s="26" t="s">
        <v>3847</v>
      </c>
      <c r="F1037" s="21" t="s">
        <v>18</v>
      </c>
      <c r="G1037" s="21" t="s">
        <v>3432</v>
      </c>
      <c r="H1037" s="21" t="s">
        <v>36</v>
      </c>
      <c r="I1037" s="21" t="s">
        <v>3848</v>
      </c>
      <c r="K1037" s="21">
        <v>1.3982409270044E14</v>
      </c>
      <c r="M1037" s="15"/>
      <c r="N1037" s="15"/>
      <c r="O1037" s="15"/>
    </row>
    <row r="1038" ht="22.5" customHeight="1">
      <c r="A1038" s="32" t="str">
        <f t="shared" si="1"/>
        <v>4/2026</v>
      </c>
      <c r="B1038" s="25">
        <v>46136.593476724534</v>
      </c>
      <c r="C1038" s="21" t="s">
        <v>3008</v>
      </c>
      <c r="D1038" s="21" t="s">
        <v>3849</v>
      </c>
      <c r="E1038" s="26" t="s">
        <v>3850</v>
      </c>
      <c r="F1038" s="21" t="s">
        <v>303</v>
      </c>
      <c r="G1038" s="21" t="s">
        <v>3689</v>
      </c>
      <c r="H1038" s="21" t="s">
        <v>36</v>
      </c>
      <c r="I1038" s="21" t="s">
        <v>3851</v>
      </c>
      <c r="K1038" s="21">
        <v>1.39822120800097E14</v>
      </c>
      <c r="M1038" s="15"/>
      <c r="N1038" s="15"/>
      <c r="O1038" s="15"/>
    </row>
    <row r="1039" ht="22.5" customHeight="1">
      <c r="A1039" s="32" t="str">
        <f t="shared" si="1"/>
        <v>4/2026</v>
      </c>
      <c r="B1039" s="25">
        <v>46136.662654432876</v>
      </c>
      <c r="C1039" s="21" t="s">
        <v>39</v>
      </c>
      <c r="D1039" s="21" t="s">
        <v>3852</v>
      </c>
      <c r="E1039" s="26" t="s">
        <v>3853</v>
      </c>
      <c r="F1039" s="21" t="s">
        <v>42</v>
      </c>
      <c r="G1039" s="21" t="s">
        <v>3373</v>
      </c>
      <c r="H1039" s="21" t="s">
        <v>36</v>
      </c>
      <c r="I1039" s="21" t="s">
        <v>3854</v>
      </c>
      <c r="K1039" s="21">
        <v>1.39823112300331E14</v>
      </c>
      <c r="L1039" s="21">
        <v>19.0</v>
      </c>
      <c r="M1039" s="15"/>
      <c r="N1039" s="15"/>
      <c r="O1039" s="15"/>
    </row>
    <row r="1040" ht="22.5" customHeight="1">
      <c r="A1040" s="32" t="str">
        <f t="shared" si="1"/>
        <v>4/2026</v>
      </c>
      <c r="B1040" s="25">
        <v>46136.835184814816</v>
      </c>
      <c r="C1040" s="21" t="s">
        <v>32</v>
      </c>
      <c r="D1040" s="21" t="s">
        <v>3855</v>
      </c>
      <c r="E1040" s="26" t="s">
        <v>3856</v>
      </c>
      <c r="F1040" s="21" t="s">
        <v>18</v>
      </c>
      <c r="G1040" s="21" t="s">
        <v>3350</v>
      </c>
      <c r="H1040" s="21" t="s">
        <v>36</v>
      </c>
      <c r="I1040" s="21" t="s">
        <v>3857</v>
      </c>
      <c r="K1040" s="21">
        <v>1.19823021200152E14</v>
      </c>
      <c r="M1040" s="15"/>
      <c r="N1040" s="15"/>
      <c r="O1040" s="15"/>
    </row>
    <row r="1041" ht="22.5" customHeight="1">
      <c r="A1041" s="32" t="str">
        <f t="shared" si="1"/>
        <v>4/2026</v>
      </c>
      <c r="B1041" s="25">
        <v>46137.45907075232</v>
      </c>
      <c r="C1041" s="21" t="s">
        <v>408</v>
      </c>
      <c r="D1041" s="21" t="s">
        <v>3858</v>
      </c>
      <c r="E1041" s="26" t="s">
        <v>3859</v>
      </c>
      <c r="F1041" s="21" t="s">
        <v>118</v>
      </c>
      <c r="G1041" s="21" t="s">
        <v>3357</v>
      </c>
      <c r="H1041" s="21" t="s">
        <v>36</v>
      </c>
      <c r="I1041" s="21" t="s">
        <v>3860</v>
      </c>
      <c r="J1041" s="21" t="s">
        <v>3728</v>
      </c>
      <c r="K1041" s="21">
        <v>8.92823021300077E14</v>
      </c>
      <c r="M1041" s="15"/>
      <c r="N1041" s="15"/>
      <c r="O1041" s="15"/>
    </row>
    <row r="1042" ht="22.5" customHeight="1">
      <c r="A1042" s="32" t="str">
        <f t="shared" si="1"/>
        <v>4/2026</v>
      </c>
      <c r="B1042" s="25">
        <v>46137.55539203704</v>
      </c>
      <c r="C1042" s="21" t="s">
        <v>618</v>
      </c>
      <c r="D1042" s="21" t="s">
        <v>3861</v>
      </c>
      <c r="E1042" s="26" t="s">
        <v>3862</v>
      </c>
      <c r="F1042" s="21" t="s">
        <v>118</v>
      </c>
      <c r="G1042" s="21" t="s">
        <v>3863</v>
      </c>
      <c r="H1042" s="21" t="s">
        <v>36</v>
      </c>
      <c r="I1042" s="21" t="s">
        <v>3864</v>
      </c>
      <c r="K1042" s="21">
        <v>1.39824102800135E14</v>
      </c>
      <c r="L1042" s="21">
        <v>15.0</v>
      </c>
      <c r="M1042" s="15"/>
      <c r="N1042" s="15"/>
      <c r="O1042" s="15"/>
    </row>
    <row r="1043" ht="22.5" customHeight="1">
      <c r="A1043" s="32" t="str">
        <f t="shared" si="1"/>
        <v>4/2026</v>
      </c>
      <c r="B1043" s="25">
        <v>46137.634605983796</v>
      </c>
      <c r="C1043" s="21" t="s">
        <v>1181</v>
      </c>
      <c r="D1043" s="21" t="s">
        <v>3865</v>
      </c>
      <c r="E1043" s="26" t="s">
        <v>3866</v>
      </c>
      <c r="F1043" s="21" t="s">
        <v>18</v>
      </c>
      <c r="G1043" s="21" t="s">
        <v>3867</v>
      </c>
      <c r="H1043" s="21" t="s">
        <v>141</v>
      </c>
      <c r="I1043" s="29" t="s">
        <v>3868</v>
      </c>
      <c r="J1043" s="21" t="s">
        <v>3869</v>
      </c>
      <c r="K1043" s="21" t="s">
        <v>55</v>
      </c>
      <c r="L1043" s="21">
        <v>22.0</v>
      </c>
      <c r="M1043" s="15"/>
      <c r="N1043" s="15"/>
      <c r="O1043" s="15"/>
    </row>
    <row r="1044" ht="22.5" customHeight="1">
      <c r="A1044" s="32" t="str">
        <f t="shared" si="1"/>
        <v>4/2026</v>
      </c>
      <c r="B1044" s="25">
        <v>46137.83397118056</v>
      </c>
      <c r="C1044" s="21" t="s">
        <v>408</v>
      </c>
      <c r="D1044" s="21" t="s">
        <v>3870</v>
      </c>
      <c r="E1044" s="26" t="s">
        <v>3871</v>
      </c>
      <c r="F1044" s="21" t="s">
        <v>118</v>
      </c>
      <c r="G1044" s="21" t="s">
        <v>3357</v>
      </c>
      <c r="H1044" s="21" t="s">
        <v>36</v>
      </c>
      <c r="I1044" s="21" t="s">
        <v>3872</v>
      </c>
      <c r="K1044" s="21">
        <v>1.19823072500205E14</v>
      </c>
      <c r="M1044" s="15"/>
      <c r="N1044" s="15"/>
      <c r="O1044" s="15"/>
    </row>
    <row r="1045" ht="22.5" customHeight="1">
      <c r="A1045" s="32" t="str">
        <f t="shared" si="1"/>
        <v>4/2026</v>
      </c>
      <c r="B1045" s="25">
        <v>46137.89452238426</v>
      </c>
      <c r="C1045" s="21" t="s">
        <v>103</v>
      </c>
      <c r="D1045" s="21" t="s">
        <v>3873</v>
      </c>
      <c r="E1045" s="26" t="s">
        <v>3564</v>
      </c>
      <c r="F1045" s="21" t="s">
        <v>106</v>
      </c>
      <c r="G1045" s="21" t="s">
        <v>3451</v>
      </c>
      <c r="H1045" s="21" t="s">
        <v>425</v>
      </c>
      <c r="I1045" s="21" t="s">
        <v>3874</v>
      </c>
      <c r="J1045" s="21" t="s">
        <v>3875</v>
      </c>
      <c r="K1045" s="21">
        <v>1.84825082100113E14</v>
      </c>
      <c r="M1045" s="15"/>
      <c r="N1045" s="15"/>
      <c r="O1045" s="15"/>
    </row>
    <row r="1046" ht="22.5" customHeight="1">
      <c r="A1046" s="32" t="str">
        <f t="shared" si="1"/>
        <v>4/2026</v>
      </c>
      <c r="B1046" s="25">
        <v>46137.896819710644</v>
      </c>
      <c r="C1046" s="21" t="s">
        <v>103</v>
      </c>
      <c r="D1046" s="21" t="s">
        <v>3876</v>
      </c>
      <c r="E1046" s="26" t="s">
        <v>3877</v>
      </c>
      <c r="F1046" s="21" t="s">
        <v>106</v>
      </c>
      <c r="G1046" s="21" t="s">
        <v>291</v>
      </c>
      <c r="H1046" s="21" t="s">
        <v>20</v>
      </c>
      <c r="I1046" s="21" t="s">
        <v>3878</v>
      </c>
      <c r="J1046" s="21" t="s">
        <v>3879</v>
      </c>
      <c r="K1046" s="21">
        <v>1.8582602070007E14</v>
      </c>
      <c r="M1046" s="15"/>
      <c r="N1046" s="15"/>
      <c r="O1046" s="15"/>
    </row>
    <row r="1047" ht="22.5" customHeight="1">
      <c r="A1047" s="32" t="str">
        <f t="shared" si="1"/>
        <v>4/2026</v>
      </c>
      <c r="B1047" s="25">
        <v>46137.89897018518</v>
      </c>
      <c r="C1047" s="21" t="s">
        <v>103</v>
      </c>
      <c r="D1047" s="21" t="s">
        <v>3880</v>
      </c>
      <c r="E1047" s="26" t="s">
        <v>3881</v>
      </c>
      <c r="F1047" s="21" t="s">
        <v>106</v>
      </c>
      <c r="G1047" s="21" t="s">
        <v>3882</v>
      </c>
      <c r="H1047" s="21" t="s">
        <v>20</v>
      </c>
      <c r="I1047" s="21" t="s">
        <v>3883</v>
      </c>
      <c r="J1047" s="21" t="s">
        <v>3884</v>
      </c>
      <c r="K1047" s="21">
        <v>1.85826020700118E14</v>
      </c>
      <c r="M1047" s="15"/>
      <c r="N1047" s="15"/>
      <c r="O1047" s="15"/>
    </row>
    <row r="1048" ht="22.5" customHeight="1">
      <c r="A1048" s="32" t="str">
        <f t="shared" si="1"/>
        <v>4/2026</v>
      </c>
      <c r="B1048" s="25">
        <v>46138.72600653935</v>
      </c>
      <c r="C1048" s="21" t="s">
        <v>1989</v>
      </c>
      <c r="D1048" s="21" t="s">
        <v>443</v>
      </c>
      <c r="E1048" s="26" t="s">
        <v>3885</v>
      </c>
      <c r="F1048" s="21" t="s">
        <v>64</v>
      </c>
      <c r="G1048" s="21" t="s">
        <v>3339</v>
      </c>
      <c r="H1048" s="21" t="s">
        <v>36</v>
      </c>
      <c r="I1048" s="21" t="s">
        <v>3886</v>
      </c>
      <c r="K1048" s="21">
        <v>1.19821080500226E14</v>
      </c>
      <c r="M1048" s="15"/>
      <c r="N1048" s="15"/>
      <c r="O1048" s="15"/>
    </row>
    <row r="1049" ht="22.5" customHeight="1">
      <c r="A1049" s="32" t="str">
        <f t="shared" si="1"/>
        <v>4/2026</v>
      </c>
      <c r="B1049" s="25">
        <v>46139.50430231482</v>
      </c>
      <c r="C1049" s="21" t="s">
        <v>132</v>
      </c>
      <c r="D1049" s="21" t="s">
        <v>3887</v>
      </c>
      <c r="E1049" s="26" t="s">
        <v>3888</v>
      </c>
      <c r="F1049" s="21" t="s">
        <v>18</v>
      </c>
      <c r="G1049" s="21" t="s">
        <v>3689</v>
      </c>
      <c r="H1049" s="21" t="s">
        <v>36</v>
      </c>
      <c r="I1049" s="21" t="s">
        <v>3889</v>
      </c>
      <c r="K1049" s="21">
        <v>1.39822121600274E14</v>
      </c>
      <c r="M1049" s="15"/>
      <c r="N1049" s="15"/>
      <c r="O1049" s="15"/>
    </row>
    <row r="1050" ht="22.5" customHeight="1">
      <c r="A1050" s="32" t="str">
        <f t="shared" si="1"/>
        <v>4/2026</v>
      </c>
      <c r="B1050" s="25">
        <v>46139.50824768518</v>
      </c>
      <c r="C1050" s="21" t="s">
        <v>132</v>
      </c>
      <c r="D1050" s="21" t="s">
        <v>3890</v>
      </c>
      <c r="E1050" s="26" t="s">
        <v>3891</v>
      </c>
      <c r="F1050" s="21" t="s">
        <v>18</v>
      </c>
      <c r="G1050" s="21" t="s">
        <v>3350</v>
      </c>
      <c r="H1050" s="21" t="s">
        <v>36</v>
      </c>
      <c r="I1050" s="21" t="s">
        <v>3892</v>
      </c>
      <c r="K1050" s="21">
        <v>1.19821080500171E14</v>
      </c>
      <c r="M1050" s="15"/>
      <c r="N1050" s="15"/>
      <c r="O1050" s="15"/>
    </row>
    <row r="1051" ht="22.5" customHeight="1">
      <c r="A1051" s="32" t="str">
        <f t="shared" si="1"/>
        <v>4/2026</v>
      </c>
      <c r="B1051" s="25">
        <v>46139.510649386575</v>
      </c>
      <c r="C1051" s="21" t="s">
        <v>132</v>
      </c>
      <c r="D1051" s="21" t="s">
        <v>3893</v>
      </c>
      <c r="E1051" s="26" t="s">
        <v>1451</v>
      </c>
      <c r="F1051" s="21" t="s">
        <v>18</v>
      </c>
      <c r="G1051" s="21" t="s">
        <v>291</v>
      </c>
      <c r="H1051" s="21" t="s">
        <v>1678</v>
      </c>
      <c r="I1051" s="21" t="s">
        <v>3894</v>
      </c>
      <c r="K1051" s="21">
        <v>1.85825082200046E14</v>
      </c>
      <c r="M1051" s="15"/>
      <c r="N1051" s="15"/>
      <c r="O1051" s="15"/>
    </row>
    <row r="1052" ht="22.5" customHeight="1">
      <c r="A1052" s="32" t="str">
        <f t="shared" si="1"/>
        <v>4/2026</v>
      </c>
      <c r="B1052" s="25">
        <v>46139.513043750005</v>
      </c>
      <c r="C1052" s="21" t="s">
        <v>132</v>
      </c>
      <c r="D1052" s="21" t="s">
        <v>3895</v>
      </c>
      <c r="E1052" s="26" t="s">
        <v>3896</v>
      </c>
      <c r="F1052" s="21" t="s">
        <v>18</v>
      </c>
      <c r="G1052" s="21" t="s">
        <v>291</v>
      </c>
      <c r="H1052" s="21" t="s">
        <v>20</v>
      </c>
      <c r="I1052" s="21" t="s">
        <v>3897</v>
      </c>
      <c r="K1052" s="21">
        <v>1.8582602070015E14</v>
      </c>
      <c r="M1052" s="15"/>
      <c r="N1052" s="15"/>
      <c r="O1052" s="15"/>
    </row>
    <row r="1053" ht="22.5" customHeight="1">
      <c r="A1053" s="32" t="str">
        <f t="shared" si="1"/>
        <v>4/2026</v>
      </c>
      <c r="B1053" s="25">
        <v>46139.5792352662</v>
      </c>
      <c r="C1053" s="21" t="s">
        <v>3008</v>
      </c>
      <c r="D1053" s="21" t="s">
        <v>3898</v>
      </c>
      <c r="E1053" s="26" t="s">
        <v>3899</v>
      </c>
      <c r="F1053" s="21" t="s">
        <v>303</v>
      </c>
      <c r="G1053" s="21" t="s">
        <v>3373</v>
      </c>
      <c r="H1053" s="21" t="s">
        <v>36</v>
      </c>
      <c r="I1053" s="21" t="s">
        <v>3900</v>
      </c>
      <c r="K1053" s="21">
        <v>1.39823072500011E14</v>
      </c>
      <c r="M1053" s="15"/>
      <c r="N1053" s="15"/>
      <c r="O1053" s="15"/>
    </row>
    <row r="1054" ht="22.5" customHeight="1">
      <c r="A1054" s="32" t="str">
        <f t="shared" si="1"/>
        <v>4/2026</v>
      </c>
      <c r="B1054" s="25">
        <v>46139.58180356481</v>
      </c>
      <c r="C1054" s="21" t="s">
        <v>3008</v>
      </c>
      <c r="D1054" s="21" t="s">
        <v>3901</v>
      </c>
      <c r="E1054" s="26" t="s">
        <v>1139</v>
      </c>
      <c r="F1054" s="21" t="s">
        <v>303</v>
      </c>
      <c r="G1054" s="21" t="s">
        <v>291</v>
      </c>
      <c r="H1054" s="21" t="s">
        <v>721</v>
      </c>
      <c r="I1054" s="21" t="s">
        <v>3902</v>
      </c>
      <c r="K1054" s="21">
        <v>1.85825082200143E14</v>
      </c>
      <c r="M1054" s="15"/>
      <c r="N1054" s="15"/>
      <c r="O1054" s="15"/>
    </row>
    <row r="1055" ht="22.5" customHeight="1">
      <c r="A1055" s="32" t="str">
        <f t="shared" si="1"/>
        <v>4/2026</v>
      </c>
      <c r="B1055" s="25">
        <v>46139.6839804051</v>
      </c>
      <c r="C1055" s="21" t="s">
        <v>115</v>
      </c>
      <c r="D1055" s="21" t="s">
        <v>352</v>
      </c>
      <c r="E1055" s="26" t="s">
        <v>3903</v>
      </c>
      <c r="F1055" s="21" t="s">
        <v>118</v>
      </c>
      <c r="G1055" s="21" t="s">
        <v>3701</v>
      </c>
      <c r="H1055" s="21" t="s">
        <v>141</v>
      </c>
      <c r="I1055" s="21" t="s">
        <v>3904</v>
      </c>
      <c r="J1055" s="21" t="s">
        <v>3905</v>
      </c>
      <c r="K1055" s="21" t="s">
        <v>122</v>
      </c>
      <c r="M1055" s="15"/>
      <c r="N1055" s="15"/>
      <c r="O1055" s="15"/>
    </row>
    <row r="1056" ht="22.5" customHeight="1">
      <c r="A1056" s="32" t="str">
        <f t="shared" si="1"/>
        <v>4/2026</v>
      </c>
      <c r="B1056" s="25">
        <v>46139.68608305555</v>
      </c>
      <c r="C1056" s="21" t="s">
        <v>115</v>
      </c>
      <c r="D1056" s="21" t="s">
        <v>3906</v>
      </c>
      <c r="E1056" s="26" t="s">
        <v>1369</v>
      </c>
      <c r="F1056" s="21" t="s">
        <v>1370</v>
      </c>
      <c r="G1056" s="21" t="s">
        <v>3373</v>
      </c>
      <c r="H1056" s="21" t="s">
        <v>141</v>
      </c>
      <c r="I1056" s="21" t="s">
        <v>3907</v>
      </c>
      <c r="J1056" s="21" t="s">
        <v>3908</v>
      </c>
      <c r="K1056" s="21" t="s">
        <v>122</v>
      </c>
      <c r="M1056" s="15"/>
      <c r="N1056" s="15"/>
      <c r="O1056" s="15"/>
    </row>
    <row r="1057" ht="22.5" customHeight="1">
      <c r="A1057" s="32" t="str">
        <f t="shared" si="1"/>
        <v>4/2026</v>
      </c>
      <c r="B1057" s="25">
        <v>46139.68819861111</v>
      </c>
      <c r="C1057" s="21" t="s">
        <v>115</v>
      </c>
      <c r="D1057" s="21" t="s">
        <v>1279</v>
      </c>
      <c r="E1057" s="26" t="s">
        <v>3909</v>
      </c>
      <c r="F1057" s="21" t="s">
        <v>118</v>
      </c>
      <c r="G1057" s="21" t="s">
        <v>3357</v>
      </c>
      <c r="H1057" s="21" t="s">
        <v>36</v>
      </c>
      <c r="I1057" s="21" t="s">
        <v>3910</v>
      </c>
      <c r="J1057" s="21" t="s">
        <v>3911</v>
      </c>
      <c r="K1057" s="21" t="s">
        <v>122</v>
      </c>
      <c r="M1057" s="15"/>
      <c r="N1057" s="15"/>
      <c r="O1057" s="15"/>
    </row>
    <row r="1058" ht="22.5" customHeight="1">
      <c r="A1058" s="32" t="str">
        <f t="shared" si="1"/>
        <v>4/2026</v>
      </c>
      <c r="B1058" s="25">
        <v>46139.70008221065</v>
      </c>
      <c r="C1058" s="21" t="s">
        <v>32</v>
      </c>
      <c r="D1058" s="21" t="s">
        <v>3912</v>
      </c>
      <c r="E1058" s="21" t="s">
        <v>3913</v>
      </c>
      <c r="F1058" s="21" t="s">
        <v>18</v>
      </c>
      <c r="G1058" s="21" t="s">
        <v>3432</v>
      </c>
      <c r="H1058" s="21" t="s">
        <v>36</v>
      </c>
      <c r="I1058" s="30" t="s">
        <v>3914</v>
      </c>
      <c r="K1058" s="21">
        <v>1.39824102800511E14</v>
      </c>
      <c r="M1058" s="15"/>
      <c r="N1058" s="15"/>
      <c r="O1058" s="15"/>
    </row>
    <row r="1059" ht="22.5" customHeight="1">
      <c r="A1059" s="32" t="str">
        <f t="shared" si="1"/>
        <v>4/2026</v>
      </c>
      <c r="B1059" s="25">
        <v>46139.7239784375</v>
      </c>
      <c r="C1059" s="21" t="s">
        <v>618</v>
      </c>
      <c r="D1059" s="21" t="s">
        <v>3915</v>
      </c>
      <c r="E1059" s="26" t="s">
        <v>463</v>
      </c>
      <c r="F1059" s="21" t="s">
        <v>118</v>
      </c>
      <c r="G1059" s="21" t="s">
        <v>3451</v>
      </c>
      <c r="H1059" s="21" t="s">
        <v>20</v>
      </c>
      <c r="I1059" s="21" t="s">
        <v>3916</v>
      </c>
      <c r="K1059" s="21">
        <v>1.84825082100119E14</v>
      </c>
      <c r="L1059" s="21">
        <v>7.0</v>
      </c>
      <c r="M1059" s="15"/>
      <c r="N1059" s="15"/>
      <c r="O1059" s="15"/>
    </row>
    <row r="1060" ht="22.5" customHeight="1">
      <c r="A1060" s="32" t="str">
        <f t="shared" si="1"/>
        <v>4/2026</v>
      </c>
      <c r="B1060" s="25">
        <v>46140.53130818287</v>
      </c>
      <c r="C1060" s="21" t="s">
        <v>32</v>
      </c>
      <c r="D1060" s="21" t="s">
        <v>3917</v>
      </c>
      <c r="E1060" s="26" t="s">
        <v>3918</v>
      </c>
      <c r="F1060" s="21" t="s">
        <v>18</v>
      </c>
      <c r="G1060" s="21" t="s">
        <v>3469</v>
      </c>
      <c r="H1060" s="21" t="s">
        <v>20</v>
      </c>
      <c r="I1060" s="21" t="s">
        <v>3919</v>
      </c>
      <c r="K1060" s="21">
        <v>1.86825082100027E14</v>
      </c>
      <c r="M1060" s="15"/>
      <c r="N1060" s="15"/>
      <c r="O1060" s="15"/>
    </row>
    <row r="1061" ht="22.5" customHeight="1">
      <c r="A1061" s="32" t="str">
        <f t="shared" si="1"/>
        <v>4/2026</v>
      </c>
      <c r="B1061" s="25">
        <v>46140.56583226852</v>
      </c>
      <c r="C1061" s="21" t="s">
        <v>32</v>
      </c>
      <c r="D1061" s="21" t="s">
        <v>3920</v>
      </c>
      <c r="E1061" s="26" t="s">
        <v>3811</v>
      </c>
      <c r="F1061" s="21" t="s">
        <v>18</v>
      </c>
      <c r="G1061" s="21" t="s">
        <v>3350</v>
      </c>
      <c r="H1061" s="21" t="s">
        <v>2566</v>
      </c>
      <c r="I1061" s="21" t="s">
        <v>3921</v>
      </c>
      <c r="K1061" s="21">
        <v>8.92821080500452E14</v>
      </c>
      <c r="M1061" s="15"/>
      <c r="N1061" s="15"/>
      <c r="O1061" s="15"/>
    </row>
    <row r="1062" ht="22.5" customHeight="1">
      <c r="A1062" s="32" t="str">
        <f t="shared" si="1"/>
        <v>4/2026</v>
      </c>
      <c r="B1062" s="25">
        <v>46140.75200980324</v>
      </c>
      <c r="C1062" s="21" t="s">
        <v>32</v>
      </c>
      <c r="D1062" s="21" t="s">
        <v>655</v>
      </c>
      <c r="E1062" s="26" t="s">
        <v>3922</v>
      </c>
      <c r="F1062" s="21" t="s">
        <v>18</v>
      </c>
      <c r="G1062" s="21" t="s">
        <v>3432</v>
      </c>
      <c r="H1062" s="21" t="s">
        <v>36</v>
      </c>
      <c r="I1062" s="21" t="s">
        <v>3923</v>
      </c>
      <c r="K1062" s="21">
        <v>1.39824012800132E14</v>
      </c>
      <c r="L1062" s="21">
        <v>46.0</v>
      </c>
      <c r="M1062" s="15"/>
      <c r="N1062" s="15"/>
      <c r="O1062" s="15"/>
    </row>
    <row r="1063" ht="22.5" customHeight="1">
      <c r="A1063" s="32" t="str">
        <f t="shared" si="1"/>
        <v>4/2026</v>
      </c>
      <c r="B1063" s="25">
        <v>46140.75457525463</v>
      </c>
      <c r="C1063" s="21" t="s">
        <v>32</v>
      </c>
      <c r="D1063" s="21" t="s">
        <v>852</v>
      </c>
      <c r="E1063" s="26" t="s">
        <v>3924</v>
      </c>
      <c r="F1063" s="21" t="s">
        <v>18</v>
      </c>
      <c r="G1063" s="21" t="s">
        <v>3639</v>
      </c>
      <c r="H1063" s="21" t="s">
        <v>36</v>
      </c>
      <c r="I1063" s="21" t="s">
        <v>3925</v>
      </c>
      <c r="K1063" s="21">
        <v>1.19823021300117E14</v>
      </c>
      <c r="M1063" s="15"/>
      <c r="N1063" s="15"/>
      <c r="O1063" s="15"/>
    </row>
    <row r="1064" ht="22.5" customHeight="1">
      <c r="A1064" s="32" t="str">
        <f t="shared" si="1"/>
        <v>4/2026</v>
      </c>
      <c r="B1064" s="25">
        <v>46140.835200312504</v>
      </c>
      <c r="C1064" s="21" t="s">
        <v>51</v>
      </c>
      <c r="D1064" s="21" t="s">
        <v>428</v>
      </c>
      <c r="E1064" s="26" t="s">
        <v>3926</v>
      </c>
      <c r="F1064" s="21" t="s">
        <v>18</v>
      </c>
      <c r="G1064" s="21" t="s">
        <v>291</v>
      </c>
      <c r="H1064" s="21" t="s">
        <v>20</v>
      </c>
      <c r="I1064" s="21" t="s">
        <v>3927</v>
      </c>
      <c r="K1064" s="21">
        <v>1.85826020700113E14</v>
      </c>
      <c r="M1064" s="15"/>
      <c r="N1064" s="15"/>
      <c r="O1064" s="15"/>
    </row>
    <row r="1065" ht="22.5" customHeight="1">
      <c r="A1065" s="32" t="str">
        <f t="shared" si="1"/>
        <v>4/2026</v>
      </c>
      <c r="B1065" s="25">
        <v>46140.8382069213</v>
      </c>
      <c r="C1065" s="21" t="s">
        <v>51</v>
      </c>
      <c r="D1065" s="21" t="s">
        <v>3928</v>
      </c>
      <c r="E1065" s="26" t="s">
        <v>3926</v>
      </c>
      <c r="F1065" s="21" t="s">
        <v>18</v>
      </c>
      <c r="G1065" s="21" t="s">
        <v>291</v>
      </c>
      <c r="H1065" s="21" t="s">
        <v>537</v>
      </c>
      <c r="I1065" s="21" t="s">
        <v>3929</v>
      </c>
      <c r="K1065" s="21">
        <v>1.85826020700113E14</v>
      </c>
      <c r="M1065" s="15"/>
      <c r="N1065" s="15"/>
      <c r="O1065" s="15"/>
    </row>
    <row r="1066" ht="22.5" customHeight="1">
      <c r="A1066" s="32" t="str">
        <f t="shared" si="1"/>
        <v>4/2026</v>
      </c>
      <c r="B1066" s="25">
        <v>46140.84084797454</v>
      </c>
      <c r="C1066" s="21" t="s">
        <v>51</v>
      </c>
      <c r="D1066" s="21" t="s">
        <v>3930</v>
      </c>
      <c r="E1066" s="26" t="s">
        <v>3931</v>
      </c>
      <c r="F1066" s="21" t="s">
        <v>18</v>
      </c>
      <c r="G1066" s="21" t="s">
        <v>291</v>
      </c>
      <c r="H1066" s="21" t="s">
        <v>20</v>
      </c>
      <c r="I1066" s="21" t="s">
        <v>3932</v>
      </c>
      <c r="K1066" s="21">
        <v>1.85826020700071E14</v>
      </c>
      <c r="M1066" s="15"/>
      <c r="N1066" s="15"/>
      <c r="O1066" s="15"/>
    </row>
    <row r="1067" ht="22.5" customHeight="1">
      <c r="A1067" s="32" t="str">
        <f t="shared" si="1"/>
        <v>4/2026</v>
      </c>
      <c r="B1067" s="25">
        <v>46140.86024459491</v>
      </c>
      <c r="C1067" s="21" t="s">
        <v>77</v>
      </c>
      <c r="D1067" s="21" t="s">
        <v>3933</v>
      </c>
      <c r="E1067" s="26" t="s">
        <v>3934</v>
      </c>
      <c r="F1067" s="21" t="s">
        <v>64</v>
      </c>
      <c r="G1067" s="21" t="s">
        <v>3357</v>
      </c>
      <c r="H1067" s="21" t="s">
        <v>36</v>
      </c>
      <c r="I1067" s="29" t="s">
        <v>3935</v>
      </c>
      <c r="J1067" s="21" t="s">
        <v>3936</v>
      </c>
      <c r="K1067" s="21">
        <v>1.92824110100194E14</v>
      </c>
      <c r="M1067" s="15"/>
      <c r="N1067" s="15"/>
      <c r="O1067" s="15"/>
    </row>
    <row r="1068" ht="22.5" customHeight="1">
      <c r="A1068" s="32" t="str">
        <f t="shared" si="1"/>
        <v>4/2026</v>
      </c>
      <c r="B1068" s="25">
        <v>46140.864853506944</v>
      </c>
      <c r="C1068" s="21" t="s">
        <v>3000</v>
      </c>
      <c r="D1068" s="21" t="s">
        <v>857</v>
      </c>
      <c r="E1068" s="26" t="s">
        <v>3001</v>
      </c>
      <c r="F1068" s="21" t="s">
        <v>3002</v>
      </c>
      <c r="G1068" s="21" t="s">
        <v>3399</v>
      </c>
      <c r="H1068" s="21" t="s">
        <v>1678</v>
      </c>
      <c r="I1068" s="21" t="s">
        <v>3937</v>
      </c>
      <c r="K1068" s="21">
        <v>1.83825082100051E14</v>
      </c>
      <c r="M1068" s="15"/>
      <c r="N1068" s="15"/>
      <c r="O1068" s="15"/>
    </row>
    <row r="1069" ht="22.5" customHeight="1">
      <c r="A1069" s="32" t="str">
        <f t="shared" si="1"/>
        <v>4/2026</v>
      </c>
      <c r="B1069" s="25">
        <v>46140.872026701385</v>
      </c>
      <c r="C1069" s="21" t="s">
        <v>308</v>
      </c>
      <c r="D1069" s="21" t="s">
        <v>887</v>
      </c>
      <c r="E1069" s="26" t="s">
        <v>3938</v>
      </c>
      <c r="F1069" s="21" t="s">
        <v>106</v>
      </c>
      <c r="G1069" s="21" t="s">
        <v>3432</v>
      </c>
      <c r="H1069" s="21" t="s">
        <v>36</v>
      </c>
      <c r="I1069" s="21" t="s">
        <v>3939</v>
      </c>
      <c r="K1069" s="21">
        <v>1.39824102800158E14</v>
      </c>
      <c r="M1069" s="15"/>
      <c r="N1069" s="15"/>
      <c r="O1069" s="15"/>
    </row>
    <row r="1070" ht="22.5" customHeight="1">
      <c r="A1070" s="32" t="str">
        <f t="shared" si="1"/>
        <v>4/2026</v>
      </c>
      <c r="B1070" s="25">
        <v>46140.880070914354</v>
      </c>
      <c r="C1070" s="21" t="s">
        <v>408</v>
      </c>
      <c r="D1070" s="21" t="s">
        <v>3940</v>
      </c>
      <c r="E1070" s="26" t="s">
        <v>3941</v>
      </c>
      <c r="F1070" s="21" t="s">
        <v>118</v>
      </c>
      <c r="G1070" s="21" t="s">
        <v>3451</v>
      </c>
      <c r="H1070" s="21" t="s">
        <v>44</v>
      </c>
      <c r="I1070" s="21" t="s">
        <v>3942</v>
      </c>
      <c r="J1070" s="21" t="s">
        <v>3943</v>
      </c>
      <c r="K1070" s="21">
        <v>1.84825123100379E14</v>
      </c>
      <c r="M1070" s="15"/>
      <c r="N1070" s="15"/>
      <c r="O1070" s="15"/>
    </row>
    <row r="1071" ht="22.5" customHeight="1">
      <c r="A1071" s="32" t="str">
        <f t="shared" si="1"/>
        <v>4/2026</v>
      </c>
      <c r="B1071" s="25">
        <v>46140.89176929399</v>
      </c>
      <c r="C1071" s="21" t="s">
        <v>1537</v>
      </c>
      <c r="D1071" s="21" t="s">
        <v>3944</v>
      </c>
      <c r="E1071" s="26" t="s">
        <v>1539</v>
      </c>
      <c r="F1071" s="21" t="s">
        <v>1540</v>
      </c>
      <c r="G1071" s="21" t="s">
        <v>291</v>
      </c>
      <c r="H1071" s="21" t="s">
        <v>721</v>
      </c>
      <c r="I1071" s="21" t="s">
        <v>3945</v>
      </c>
      <c r="K1071" s="21">
        <v>1.85825082200057E14</v>
      </c>
      <c r="M1071" s="15"/>
      <c r="N1071" s="15"/>
      <c r="O1071" s="15"/>
    </row>
    <row r="1072" ht="22.5" customHeight="1">
      <c r="A1072" s="32" t="str">
        <f t="shared" si="1"/>
        <v>4/2026</v>
      </c>
      <c r="B1072" s="25">
        <v>46141.64043649306</v>
      </c>
      <c r="C1072" s="21" t="s">
        <v>408</v>
      </c>
      <c r="D1072" s="21" t="s">
        <v>3946</v>
      </c>
      <c r="E1072" s="26" t="s">
        <v>3947</v>
      </c>
      <c r="F1072" s="21" t="s">
        <v>118</v>
      </c>
      <c r="G1072" s="21" t="s">
        <v>291</v>
      </c>
      <c r="H1072" s="21" t="s">
        <v>20</v>
      </c>
      <c r="I1072" s="21" t="s">
        <v>3948</v>
      </c>
      <c r="J1072" s="21" t="s">
        <v>3949</v>
      </c>
      <c r="K1072" s="21">
        <v>1.85826020700122E14</v>
      </c>
      <c r="M1072" s="15"/>
      <c r="N1072" s="15"/>
      <c r="O1072" s="15"/>
    </row>
    <row r="1073" ht="22.5" customHeight="1">
      <c r="A1073" s="32" t="str">
        <f t="shared" si="1"/>
        <v>4/2026</v>
      </c>
      <c r="B1073" s="25">
        <v>46141.67567084491</v>
      </c>
      <c r="C1073" s="21" t="s">
        <v>3950</v>
      </c>
      <c r="D1073" s="21" t="s">
        <v>3951</v>
      </c>
      <c r="E1073" s="26" t="s">
        <v>3952</v>
      </c>
      <c r="F1073" s="21" t="s">
        <v>1061</v>
      </c>
      <c r="G1073" s="21" t="s">
        <v>3953</v>
      </c>
      <c r="H1073" s="21" t="s">
        <v>36</v>
      </c>
      <c r="I1073" s="21" t="s">
        <v>3954</v>
      </c>
      <c r="J1073" s="21" t="s">
        <v>3955</v>
      </c>
      <c r="K1073" s="21">
        <v>1.39824092700784E14</v>
      </c>
      <c r="L1073" s="21">
        <v>3.0</v>
      </c>
      <c r="M1073" s="15"/>
      <c r="N1073" s="15"/>
      <c r="O1073" s="15"/>
    </row>
    <row r="1074" ht="22.5" customHeight="1">
      <c r="A1074" s="32" t="str">
        <f t="shared" si="1"/>
        <v>4/2026</v>
      </c>
      <c r="B1074" s="25">
        <v>46141.69540557871</v>
      </c>
      <c r="C1074" s="21" t="s">
        <v>115</v>
      </c>
      <c r="D1074" s="21" t="s">
        <v>1852</v>
      </c>
      <c r="E1074" s="26" t="s">
        <v>1853</v>
      </c>
      <c r="F1074" s="21" t="s">
        <v>118</v>
      </c>
      <c r="G1074" s="21" t="s">
        <v>291</v>
      </c>
      <c r="H1074" s="21" t="s">
        <v>141</v>
      </c>
      <c r="I1074" s="21" t="s">
        <v>3956</v>
      </c>
      <c r="J1074" s="21" t="s">
        <v>3957</v>
      </c>
      <c r="K1074" s="21" t="s">
        <v>122</v>
      </c>
      <c r="M1074" s="15"/>
      <c r="N1074" s="15"/>
      <c r="O1074" s="15"/>
    </row>
    <row r="1075" ht="22.5" customHeight="1">
      <c r="A1075" s="32" t="str">
        <f t="shared" si="1"/>
        <v>4/2026</v>
      </c>
      <c r="B1075" s="25">
        <v>46141.69655532407</v>
      </c>
      <c r="C1075" s="21" t="s">
        <v>115</v>
      </c>
      <c r="D1075" s="21" t="s">
        <v>1852</v>
      </c>
      <c r="E1075" s="26" t="s">
        <v>1853</v>
      </c>
      <c r="F1075" s="21" t="s">
        <v>118</v>
      </c>
      <c r="G1075" s="21" t="s">
        <v>291</v>
      </c>
      <c r="H1075" s="21" t="s">
        <v>141</v>
      </c>
      <c r="I1075" s="21" t="s">
        <v>3958</v>
      </c>
      <c r="J1075" s="21" t="s">
        <v>3959</v>
      </c>
      <c r="K1075" s="21" t="s">
        <v>122</v>
      </c>
      <c r="M1075" s="15"/>
      <c r="N1075" s="15"/>
      <c r="O1075" s="15"/>
    </row>
    <row r="1076" ht="22.5" customHeight="1">
      <c r="A1076" s="32" t="str">
        <f t="shared" si="1"/>
        <v>4/2026</v>
      </c>
      <c r="B1076" s="25">
        <v>46141.71091197917</v>
      </c>
      <c r="C1076" s="21" t="s">
        <v>3186</v>
      </c>
      <c r="D1076" s="21" t="s">
        <v>3960</v>
      </c>
      <c r="E1076" s="26" t="s">
        <v>3961</v>
      </c>
      <c r="F1076" s="21" t="s">
        <v>18</v>
      </c>
      <c r="G1076" s="21" t="s">
        <v>3701</v>
      </c>
      <c r="H1076" s="21" t="s">
        <v>20</v>
      </c>
      <c r="I1076" s="21" t="s">
        <v>3962</v>
      </c>
      <c r="J1076" s="21" t="s">
        <v>3190</v>
      </c>
      <c r="K1076" s="21">
        <v>1.85826020700147E14</v>
      </c>
      <c r="M1076" s="15"/>
      <c r="N1076" s="15"/>
      <c r="O1076" s="15"/>
    </row>
    <row r="1077" ht="22.5" customHeight="1">
      <c r="A1077" s="32" t="str">
        <f t="shared" si="1"/>
        <v>4/2026</v>
      </c>
      <c r="B1077" s="25">
        <v>46141.712529490746</v>
      </c>
      <c r="C1077" s="21" t="s">
        <v>115</v>
      </c>
      <c r="D1077" s="21" t="s">
        <v>2606</v>
      </c>
      <c r="E1077" s="26" t="s">
        <v>1934</v>
      </c>
      <c r="F1077" s="21" t="s">
        <v>118</v>
      </c>
      <c r="G1077" s="21" t="s">
        <v>3701</v>
      </c>
      <c r="H1077" s="21" t="s">
        <v>141</v>
      </c>
      <c r="I1077" s="21" t="s">
        <v>3963</v>
      </c>
      <c r="J1077" s="21" t="s">
        <v>3964</v>
      </c>
      <c r="K1077" s="21" t="s">
        <v>122</v>
      </c>
      <c r="M1077" s="15"/>
      <c r="N1077" s="15"/>
      <c r="O1077" s="15"/>
    </row>
    <row r="1078" ht="22.5" customHeight="1">
      <c r="A1078" s="32" t="str">
        <f t="shared" si="1"/>
        <v>4/2026</v>
      </c>
      <c r="B1078" s="25">
        <v>46141.714035798606</v>
      </c>
      <c r="C1078" s="21" t="s">
        <v>115</v>
      </c>
      <c r="D1078" s="21" t="s">
        <v>3965</v>
      </c>
      <c r="E1078" s="26" t="s">
        <v>1947</v>
      </c>
      <c r="F1078" s="21" t="s">
        <v>74</v>
      </c>
      <c r="G1078" s="21" t="s">
        <v>3701</v>
      </c>
      <c r="H1078" s="21" t="s">
        <v>141</v>
      </c>
      <c r="I1078" s="21" t="s">
        <v>3966</v>
      </c>
      <c r="J1078" s="21" t="s">
        <v>3967</v>
      </c>
      <c r="K1078" s="21" t="s">
        <v>122</v>
      </c>
      <c r="M1078" s="15"/>
      <c r="N1078" s="15"/>
      <c r="O1078" s="15"/>
    </row>
    <row r="1079" ht="22.5" customHeight="1">
      <c r="A1079" s="32" t="str">
        <f t="shared" si="1"/>
        <v>4/2026</v>
      </c>
      <c r="B1079" s="25">
        <v>46141.71584121528</v>
      </c>
      <c r="C1079" s="21" t="s">
        <v>115</v>
      </c>
      <c r="D1079" s="21" t="s">
        <v>3968</v>
      </c>
      <c r="E1079" s="26" t="s">
        <v>3969</v>
      </c>
      <c r="F1079" s="21" t="s">
        <v>118</v>
      </c>
      <c r="G1079" s="21" t="s">
        <v>3357</v>
      </c>
      <c r="H1079" s="21" t="s">
        <v>36</v>
      </c>
      <c r="I1079" s="21" t="s">
        <v>3970</v>
      </c>
      <c r="J1079" s="21" t="s">
        <v>965</v>
      </c>
      <c r="K1079" s="21" t="s">
        <v>122</v>
      </c>
      <c r="L1079" s="21">
        <v>27.0</v>
      </c>
      <c r="M1079" s="15"/>
      <c r="N1079" s="15"/>
      <c r="O1079" s="15"/>
    </row>
    <row r="1080" ht="22.5" customHeight="1">
      <c r="A1080" s="32" t="str">
        <f t="shared" si="1"/>
        <v>4/2026</v>
      </c>
      <c r="B1080" s="25">
        <v>46141.74393128473</v>
      </c>
      <c r="C1080" s="21" t="s">
        <v>32</v>
      </c>
      <c r="D1080" s="21" t="s">
        <v>104</v>
      </c>
      <c r="E1080" s="26" t="s">
        <v>3971</v>
      </c>
      <c r="F1080" s="21" t="s">
        <v>18</v>
      </c>
      <c r="G1080" s="21" t="s">
        <v>3469</v>
      </c>
      <c r="H1080" s="21" t="s">
        <v>20</v>
      </c>
      <c r="I1080" s="21" t="s">
        <v>3972</v>
      </c>
      <c r="K1080" s="21">
        <v>1.86825082100133E14</v>
      </c>
      <c r="M1080" s="15"/>
      <c r="N1080" s="15"/>
      <c r="O1080" s="15"/>
    </row>
    <row r="1081" ht="22.5" customHeight="1">
      <c r="A1081" s="32" t="str">
        <f t="shared" si="1"/>
        <v>4/2026</v>
      </c>
      <c r="B1081" s="25">
        <v>46141.7882153588</v>
      </c>
      <c r="C1081" s="21" t="s">
        <v>1454</v>
      </c>
      <c r="D1081" s="21" t="s">
        <v>852</v>
      </c>
      <c r="E1081" s="26" t="s">
        <v>3973</v>
      </c>
      <c r="F1081" s="21" t="s">
        <v>1830</v>
      </c>
      <c r="G1081" s="21" t="s">
        <v>3373</v>
      </c>
      <c r="H1081" s="21" t="s">
        <v>36</v>
      </c>
      <c r="I1081" s="21" t="s">
        <v>3974</v>
      </c>
      <c r="K1081" s="21">
        <v>1.39824092700046E14</v>
      </c>
      <c r="L1081" s="21">
        <v>60.0</v>
      </c>
      <c r="M1081" s="15"/>
      <c r="N1081" s="15"/>
      <c r="O1081" s="15"/>
    </row>
    <row r="1082" ht="22.5" customHeight="1">
      <c r="A1082" s="32" t="str">
        <f t="shared" si="1"/>
        <v>4/2026</v>
      </c>
      <c r="B1082" s="25">
        <v>46141.81277575232</v>
      </c>
      <c r="C1082" s="21" t="s">
        <v>408</v>
      </c>
      <c r="D1082" s="21" t="s">
        <v>3975</v>
      </c>
      <c r="E1082" s="26" t="s">
        <v>3976</v>
      </c>
      <c r="F1082" s="21" t="s">
        <v>118</v>
      </c>
      <c r="G1082" s="21" t="s">
        <v>291</v>
      </c>
      <c r="H1082" s="21" t="s">
        <v>20</v>
      </c>
      <c r="I1082" s="21" t="s">
        <v>3977</v>
      </c>
      <c r="J1082" s="21" t="s">
        <v>3728</v>
      </c>
      <c r="K1082" s="21">
        <v>1.85826020700148E14</v>
      </c>
      <c r="M1082" s="15"/>
      <c r="N1082" s="15"/>
      <c r="O1082" s="15"/>
    </row>
    <row r="1083" ht="22.5" customHeight="1">
      <c r="A1083" s="32" t="str">
        <f t="shared" si="1"/>
        <v>4/2026</v>
      </c>
      <c r="B1083" s="25">
        <v>46141.88694873842</v>
      </c>
      <c r="C1083" s="21" t="s">
        <v>22</v>
      </c>
      <c r="D1083" s="21" t="s">
        <v>3978</v>
      </c>
      <c r="E1083" s="21" t="s">
        <v>3978</v>
      </c>
      <c r="F1083" s="21" t="s">
        <v>18</v>
      </c>
      <c r="G1083" s="21" t="s">
        <v>3323</v>
      </c>
      <c r="H1083" s="21" t="s">
        <v>20</v>
      </c>
      <c r="I1083" s="21" t="s">
        <v>3979</v>
      </c>
      <c r="J1083" s="21" t="s">
        <v>3980</v>
      </c>
      <c r="K1083" s="21" t="s">
        <v>3981</v>
      </c>
      <c r="M1083" s="15"/>
      <c r="N1083" s="15"/>
      <c r="O1083" s="15"/>
    </row>
    <row r="1084" ht="22.5" customHeight="1">
      <c r="A1084" s="32" t="str">
        <f t="shared" si="1"/>
        <v>4/2026</v>
      </c>
      <c r="B1084" s="25">
        <v>46142.41024413194</v>
      </c>
      <c r="C1084" s="21" t="s">
        <v>386</v>
      </c>
      <c r="D1084" s="21" t="s">
        <v>3982</v>
      </c>
      <c r="E1084" s="26" t="s">
        <v>3983</v>
      </c>
      <c r="F1084" s="21" t="s">
        <v>18</v>
      </c>
      <c r="G1084" s="21" t="s">
        <v>3350</v>
      </c>
      <c r="H1084" s="21" t="s">
        <v>36</v>
      </c>
      <c r="I1084" s="21" t="s">
        <v>3984</v>
      </c>
      <c r="J1084" s="21" t="s">
        <v>3985</v>
      </c>
      <c r="K1084" s="21">
        <v>1.19822061300026E14</v>
      </c>
      <c r="M1084" s="15"/>
      <c r="N1084" s="15"/>
      <c r="O1084" s="15"/>
    </row>
    <row r="1085" ht="22.5" customHeight="1">
      <c r="A1085" s="32" t="str">
        <f t="shared" si="1"/>
        <v>4/2026</v>
      </c>
      <c r="B1085" s="25">
        <v>46142.41219112268</v>
      </c>
      <c r="C1085" s="21" t="s">
        <v>386</v>
      </c>
      <c r="D1085" s="21" t="s">
        <v>3986</v>
      </c>
      <c r="E1085" s="26" t="s">
        <v>3987</v>
      </c>
      <c r="F1085" s="21" t="s">
        <v>18</v>
      </c>
      <c r="G1085" s="21" t="s">
        <v>3357</v>
      </c>
      <c r="H1085" s="21" t="s">
        <v>36</v>
      </c>
      <c r="I1085" s="21" t="s">
        <v>3988</v>
      </c>
      <c r="J1085" s="21" t="s">
        <v>366</v>
      </c>
      <c r="K1085" s="21">
        <v>1.19823091200141E14</v>
      </c>
      <c r="M1085" s="15"/>
      <c r="N1085" s="15"/>
      <c r="O1085" s="15"/>
    </row>
    <row r="1086" ht="22.5" customHeight="1">
      <c r="A1086" s="32" t="str">
        <f t="shared" si="1"/>
        <v>4/2026</v>
      </c>
      <c r="B1086" s="25">
        <v>46142.418668819446</v>
      </c>
      <c r="C1086" s="21" t="s">
        <v>386</v>
      </c>
      <c r="D1086" s="21" t="s">
        <v>3989</v>
      </c>
      <c r="E1086" s="26" t="s">
        <v>3990</v>
      </c>
      <c r="F1086" s="21" t="s">
        <v>18</v>
      </c>
      <c r="G1086" s="21" t="s">
        <v>3432</v>
      </c>
      <c r="H1086" s="21" t="s">
        <v>36</v>
      </c>
      <c r="I1086" s="21" t="s">
        <v>3991</v>
      </c>
      <c r="J1086" s="21" t="s">
        <v>3992</v>
      </c>
      <c r="K1086" s="21">
        <v>1.39824102800453E14</v>
      </c>
      <c r="M1086" s="15"/>
      <c r="N1086" s="15"/>
      <c r="O1086" s="15"/>
    </row>
    <row r="1087" ht="22.5" customHeight="1">
      <c r="A1087" s="32" t="str">
        <f t="shared" si="1"/>
        <v>4/2026</v>
      </c>
      <c r="B1087" s="25">
        <v>46142.619307581015</v>
      </c>
      <c r="C1087" s="21" t="s">
        <v>56</v>
      </c>
      <c r="D1087" s="21" t="s">
        <v>2355</v>
      </c>
      <c r="E1087" s="26" t="s">
        <v>3891</v>
      </c>
      <c r="F1087" s="21" t="s">
        <v>18</v>
      </c>
      <c r="G1087" s="21" t="s">
        <v>3764</v>
      </c>
      <c r="H1087" s="21" t="s">
        <v>36</v>
      </c>
      <c r="I1087" s="21" t="s">
        <v>3993</v>
      </c>
      <c r="K1087" s="21">
        <v>1.19821080500171E14</v>
      </c>
      <c r="M1087" s="15"/>
      <c r="N1087" s="15"/>
      <c r="O1087" s="15"/>
    </row>
    <row r="1088" ht="22.5" customHeight="1">
      <c r="A1088" s="32" t="str">
        <f t="shared" si="1"/>
        <v>4/2026</v>
      </c>
      <c r="B1088" s="25">
        <v>46142.62052887732</v>
      </c>
      <c r="C1088" s="21" t="s">
        <v>56</v>
      </c>
      <c r="D1088" s="21" t="s">
        <v>3994</v>
      </c>
      <c r="E1088" s="26" t="s">
        <v>3995</v>
      </c>
      <c r="F1088" s="21" t="s">
        <v>18</v>
      </c>
      <c r="G1088" s="21" t="s">
        <v>3432</v>
      </c>
      <c r="H1088" s="21" t="s">
        <v>36</v>
      </c>
      <c r="I1088" s="21" t="s">
        <v>3996</v>
      </c>
      <c r="K1088" s="21">
        <v>1.39824102800239E14</v>
      </c>
      <c r="M1088" s="15"/>
      <c r="N1088" s="15"/>
      <c r="O1088" s="15"/>
    </row>
    <row r="1089" ht="22.5" customHeight="1">
      <c r="A1089" s="32" t="str">
        <f t="shared" si="1"/>
        <v>4/2026</v>
      </c>
      <c r="B1089" s="25">
        <v>46142.622045428245</v>
      </c>
      <c r="C1089" s="21" t="s">
        <v>56</v>
      </c>
      <c r="D1089" s="21" t="s">
        <v>3997</v>
      </c>
      <c r="E1089" s="26" t="s">
        <v>3998</v>
      </c>
      <c r="F1089" s="21" t="s">
        <v>18</v>
      </c>
      <c r="G1089" s="21" t="s">
        <v>3432</v>
      </c>
      <c r="H1089" s="21" t="s">
        <v>36</v>
      </c>
      <c r="I1089" s="21" t="s">
        <v>3999</v>
      </c>
      <c r="K1089" s="21">
        <v>1.39824102800648E14</v>
      </c>
      <c r="M1089" s="15"/>
      <c r="N1089" s="15"/>
      <c r="O1089" s="15"/>
    </row>
    <row r="1090" ht="22.5" customHeight="1">
      <c r="A1090" s="32" t="str">
        <f t="shared" si="1"/>
        <v>4/2026</v>
      </c>
      <c r="B1090" s="25">
        <v>46142.63782782407</v>
      </c>
      <c r="C1090" s="21" t="s">
        <v>32</v>
      </c>
      <c r="D1090" s="21" t="s">
        <v>1828</v>
      </c>
      <c r="E1090" s="26" t="s">
        <v>4000</v>
      </c>
      <c r="F1090" s="21" t="s">
        <v>18</v>
      </c>
      <c r="G1090" s="21" t="s">
        <v>3350</v>
      </c>
      <c r="H1090" s="21" t="s">
        <v>36</v>
      </c>
      <c r="I1090" s="21" t="s">
        <v>4001</v>
      </c>
      <c r="K1090" s="21">
        <v>1.19823021300147E14</v>
      </c>
      <c r="M1090" s="15"/>
      <c r="N1090" s="15"/>
      <c r="O1090" s="15"/>
    </row>
    <row r="1091" ht="22.5" customHeight="1">
      <c r="A1091" s="32" t="str">
        <f t="shared" si="1"/>
        <v>4/2026</v>
      </c>
      <c r="B1091" s="25">
        <v>46142.838632997686</v>
      </c>
      <c r="C1091" s="21" t="s">
        <v>71</v>
      </c>
      <c r="D1091" s="21" t="s">
        <v>4002</v>
      </c>
      <c r="E1091" s="26" t="s">
        <v>4003</v>
      </c>
      <c r="F1091" s="21" t="s">
        <v>74</v>
      </c>
      <c r="G1091" s="21" t="s">
        <v>291</v>
      </c>
      <c r="H1091" s="21" t="s">
        <v>20</v>
      </c>
      <c r="I1091" s="21" t="s">
        <v>4004</v>
      </c>
      <c r="J1091" s="21" t="s">
        <v>4005</v>
      </c>
      <c r="K1091" s="21">
        <v>1.85826020700076E14</v>
      </c>
      <c r="L1091" s="21">
        <v>70.0</v>
      </c>
      <c r="M1091" s="15"/>
      <c r="N1091" s="15"/>
      <c r="O1091" s="15"/>
    </row>
    <row r="1092" ht="22.5" customHeight="1">
      <c r="A1092" s="32" t="str">
        <f t="shared" si="1"/>
        <v>4/2026</v>
      </c>
      <c r="B1092" s="25">
        <v>46142.8617890162</v>
      </c>
      <c r="C1092" s="21" t="s">
        <v>3008</v>
      </c>
      <c r="D1092" s="21" t="s">
        <v>4006</v>
      </c>
      <c r="E1092" s="26" t="s">
        <v>4007</v>
      </c>
      <c r="F1092" s="21" t="s">
        <v>303</v>
      </c>
      <c r="G1092" s="21" t="s">
        <v>3373</v>
      </c>
      <c r="H1092" s="21" t="s">
        <v>36</v>
      </c>
      <c r="I1092" s="21" t="s">
        <v>4008</v>
      </c>
      <c r="K1092" s="21">
        <v>1.39824102800685E14</v>
      </c>
      <c r="M1092" s="15"/>
      <c r="N1092" s="15"/>
      <c r="O1092" s="15"/>
    </row>
    <row r="1093" ht="22.5" customHeight="1">
      <c r="A1093" s="32" t="str">
        <f t="shared" si="1"/>
        <v>4/2026</v>
      </c>
      <c r="B1093" s="25">
        <v>46142.89349752315</v>
      </c>
      <c r="C1093" s="21" t="s">
        <v>115</v>
      </c>
      <c r="D1093" s="21" t="s">
        <v>352</v>
      </c>
      <c r="E1093" s="26" t="s">
        <v>3903</v>
      </c>
      <c r="F1093" s="21" t="s">
        <v>118</v>
      </c>
      <c r="G1093" s="21" t="s">
        <v>3701</v>
      </c>
      <c r="H1093" s="21" t="s">
        <v>20</v>
      </c>
      <c r="I1093" s="21" t="s">
        <v>4009</v>
      </c>
      <c r="J1093" s="21" t="s">
        <v>4010</v>
      </c>
      <c r="K1093" s="21">
        <v>1.85826020700061E14</v>
      </c>
      <c r="L1093" s="21">
        <v>24.0</v>
      </c>
      <c r="M1093" s="15"/>
      <c r="N1093" s="15"/>
      <c r="O1093" s="15"/>
    </row>
    <row r="1094" ht="22.5" customHeight="1">
      <c r="A1094" s="32" t="str">
        <f t="shared" si="1"/>
        <v>5/2026</v>
      </c>
      <c r="B1094" s="25">
        <v>46144.42429325232</v>
      </c>
      <c r="C1094" s="21" t="s">
        <v>39</v>
      </c>
      <c r="D1094" s="21" t="s">
        <v>852</v>
      </c>
      <c r="E1094" s="26" t="s">
        <v>4011</v>
      </c>
      <c r="F1094" s="21" t="s">
        <v>42</v>
      </c>
      <c r="G1094" s="21" t="s">
        <v>3357</v>
      </c>
      <c r="H1094" s="21" t="s">
        <v>36</v>
      </c>
      <c r="I1094" s="21" t="s">
        <v>4012</v>
      </c>
      <c r="K1094" s="21">
        <v>8.92824061500068E14</v>
      </c>
      <c r="L1094" s="21">
        <v>17.0</v>
      </c>
      <c r="M1094" s="15"/>
      <c r="N1094" s="15"/>
      <c r="O1094" s="15"/>
    </row>
    <row r="1095" ht="22.5" customHeight="1">
      <c r="A1095" s="32" t="str">
        <f t="shared" si="1"/>
        <v>5/2026</v>
      </c>
      <c r="B1095" s="25">
        <v>46144.483074375</v>
      </c>
      <c r="C1095" s="21" t="s">
        <v>239</v>
      </c>
      <c r="D1095" s="21" t="s">
        <v>4013</v>
      </c>
      <c r="E1095" s="26" t="s">
        <v>4014</v>
      </c>
      <c r="F1095" s="21" t="s">
        <v>242</v>
      </c>
      <c r="G1095" s="21" t="s">
        <v>3451</v>
      </c>
      <c r="H1095" s="21" t="s">
        <v>425</v>
      </c>
      <c r="I1095" s="21" t="s">
        <v>4015</v>
      </c>
      <c r="K1095" s="21">
        <v>1.19821040600268E14</v>
      </c>
      <c r="M1095" s="15"/>
      <c r="N1095" s="15"/>
      <c r="O1095" s="15"/>
    </row>
    <row r="1096" ht="22.5" customHeight="1">
      <c r="A1096" s="32" t="str">
        <f t="shared" si="1"/>
        <v>5/2026</v>
      </c>
      <c r="B1096" s="25">
        <v>46144.491564826385</v>
      </c>
      <c r="C1096" s="21" t="s">
        <v>408</v>
      </c>
      <c r="D1096" s="21" t="s">
        <v>4016</v>
      </c>
      <c r="E1096" s="26" t="s">
        <v>4017</v>
      </c>
      <c r="F1096" s="21" t="s">
        <v>118</v>
      </c>
      <c r="G1096" s="21" t="s">
        <v>3812</v>
      </c>
      <c r="H1096" s="21" t="s">
        <v>36</v>
      </c>
      <c r="I1096" s="21" t="s">
        <v>4018</v>
      </c>
      <c r="J1096" s="21" t="s">
        <v>4019</v>
      </c>
      <c r="K1096" s="21">
        <v>8.92821042900183E14</v>
      </c>
      <c r="M1096" s="15"/>
      <c r="N1096" s="15"/>
      <c r="O1096" s="15"/>
    </row>
    <row r="1097" ht="22.5" customHeight="1">
      <c r="A1097" s="32" t="str">
        <f t="shared" si="1"/>
        <v>5/2026</v>
      </c>
      <c r="B1097" s="25">
        <v>46144.49978409722</v>
      </c>
      <c r="C1097" s="21" t="s">
        <v>4020</v>
      </c>
      <c r="D1097" s="21" t="s">
        <v>4021</v>
      </c>
      <c r="E1097" s="26" t="s">
        <v>4022</v>
      </c>
      <c r="F1097" s="21" t="s">
        <v>3210</v>
      </c>
      <c r="G1097" s="21" t="s">
        <v>291</v>
      </c>
      <c r="H1097" s="21" t="s">
        <v>44</v>
      </c>
      <c r="I1097" s="21" t="s">
        <v>4023</v>
      </c>
      <c r="K1097" s="21">
        <v>1.85826020700027E14</v>
      </c>
      <c r="M1097" s="15"/>
      <c r="N1097" s="15"/>
      <c r="O1097" s="15"/>
    </row>
    <row r="1098" ht="22.5" customHeight="1">
      <c r="A1098" s="32" t="str">
        <f t="shared" si="1"/>
        <v>5/2026</v>
      </c>
      <c r="B1098" s="25">
        <v>46144.54228466435</v>
      </c>
      <c r="C1098" s="21" t="s">
        <v>32</v>
      </c>
      <c r="D1098" s="21" t="s">
        <v>4024</v>
      </c>
      <c r="E1098" s="26" t="s">
        <v>4025</v>
      </c>
      <c r="F1098" s="21" t="s">
        <v>18</v>
      </c>
      <c r="G1098" s="21" t="s">
        <v>3689</v>
      </c>
      <c r="H1098" s="21" t="s">
        <v>36</v>
      </c>
      <c r="I1098" s="21" t="s">
        <v>4026</v>
      </c>
      <c r="J1098" s="21" t="s">
        <v>4027</v>
      </c>
      <c r="K1098" s="21">
        <v>1.3982212160009E14</v>
      </c>
      <c r="M1098" s="15"/>
      <c r="N1098" s="15"/>
      <c r="O1098" s="15"/>
    </row>
    <row r="1099" ht="22.5" customHeight="1">
      <c r="A1099" s="32" t="str">
        <f t="shared" si="1"/>
        <v>5/2026</v>
      </c>
      <c r="B1099" s="25">
        <v>46144.67994947916</v>
      </c>
      <c r="C1099" s="21" t="s">
        <v>32</v>
      </c>
      <c r="D1099" s="21" t="s">
        <v>4028</v>
      </c>
      <c r="E1099" s="26" t="s">
        <v>4029</v>
      </c>
      <c r="F1099" s="21" t="s">
        <v>18</v>
      </c>
      <c r="G1099" s="21" t="s">
        <v>3350</v>
      </c>
      <c r="H1099" s="21" t="s">
        <v>141</v>
      </c>
      <c r="I1099" s="21" t="s">
        <v>4030</v>
      </c>
      <c r="J1099" s="21" t="s">
        <v>141</v>
      </c>
      <c r="K1099" s="21" t="s">
        <v>1609</v>
      </c>
      <c r="M1099" s="15"/>
      <c r="N1099" s="15"/>
      <c r="O1099" s="15"/>
    </row>
    <row r="1100" ht="22.5" customHeight="1">
      <c r="A1100" s="32" t="str">
        <f t="shared" si="1"/>
        <v>5/2026</v>
      </c>
      <c r="B1100" s="25">
        <v>46144.777376342594</v>
      </c>
      <c r="C1100" s="21" t="s">
        <v>115</v>
      </c>
      <c r="D1100" s="21" t="s">
        <v>1168</v>
      </c>
      <c r="E1100" s="26" t="s">
        <v>4031</v>
      </c>
      <c r="F1100" s="21" t="s">
        <v>118</v>
      </c>
      <c r="G1100" s="21" t="s">
        <v>3451</v>
      </c>
      <c r="H1100" s="21" t="s">
        <v>20</v>
      </c>
      <c r="I1100" s="21" t="s">
        <v>4032</v>
      </c>
      <c r="J1100" s="21" t="s">
        <v>965</v>
      </c>
      <c r="K1100" s="21">
        <v>1.8482508210021E14</v>
      </c>
      <c r="M1100" s="15"/>
      <c r="N1100" s="15"/>
      <c r="O1100" s="15"/>
    </row>
    <row r="1101" ht="22.5" customHeight="1">
      <c r="A1101" s="32" t="str">
        <f t="shared" si="1"/>
        <v>5/2026</v>
      </c>
      <c r="B1101" s="25">
        <v>46144.77845583334</v>
      </c>
      <c r="C1101" s="21" t="s">
        <v>115</v>
      </c>
      <c r="D1101" s="21" t="s">
        <v>4033</v>
      </c>
      <c r="E1101" s="26" t="s">
        <v>4034</v>
      </c>
      <c r="F1101" s="21" t="s">
        <v>118</v>
      </c>
      <c r="G1101" s="21" t="s">
        <v>3373</v>
      </c>
      <c r="H1101" s="21" t="s">
        <v>36</v>
      </c>
      <c r="I1101" s="21" t="s">
        <v>4035</v>
      </c>
      <c r="J1101" s="21" t="s">
        <v>965</v>
      </c>
      <c r="K1101" s="21" t="s">
        <v>122</v>
      </c>
      <c r="M1101" s="15"/>
      <c r="N1101" s="15"/>
      <c r="O1101" s="15"/>
    </row>
    <row r="1102" ht="22.5" customHeight="1">
      <c r="A1102" s="32" t="str">
        <f t="shared" si="1"/>
        <v>5/2026</v>
      </c>
      <c r="B1102" s="25">
        <v>46144.77965982639</v>
      </c>
      <c r="C1102" s="21" t="s">
        <v>115</v>
      </c>
      <c r="D1102" s="21" t="s">
        <v>4036</v>
      </c>
      <c r="E1102" s="26" t="s">
        <v>4037</v>
      </c>
      <c r="F1102" s="21" t="s">
        <v>118</v>
      </c>
      <c r="G1102" s="21" t="s">
        <v>3357</v>
      </c>
      <c r="H1102" s="21" t="s">
        <v>36</v>
      </c>
      <c r="I1102" s="21" t="s">
        <v>4038</v>
      </c>
      <c r="J1102" s="21" t="s">
        <v>965</v>
      </c>
      <c r="K1102" s="21" t="s">
        <v>122</v>
      </c>
      <c r="M1102" s="15"/>
      <c r="N1102" s="15"/>
      <c r="O1102" s="15"/>
    </row>
    <row r="1103" ht="22.5" customHeight="1">
      <c r="A1103" s="32" t="str">
        <f t="shared" si="1"/>
        <v>5/2026</v>
      </c>
      <c r="B1103" s="25">
        <v>46144.780706018515</v>
      </c>
      <c r="C1103" s="21" t="s">
        <v>115</v>
      </c>
      <c r="D1103" s="21" t="s">
        <v>4039</v>
      </c>
      <c r="E1103" s="26" t="s">
        <v>4040</v>
      </c>
      <c r="F1103" s="21" t="s">
        <v>118</v>
      </c>
      <c r="G1103" s="21" t="s">
        <v>3373</v>
      </c>
      <c r="H1103" s="21" t="s">
        <v>36</v>
      </c>
      <c r="I1103" s="21" t="s">
        <v>4041</v>
      </c>
      <c r="J1103" s="21" t="s">
        <v>965</v>
      </c>
      <c r="K1103" s="21" t="s">
        <v>122</v>
      </c>
      <c r="M1103" s="15"/>
      <c r="N1103" s="15"/>
      <c r="O1103" s="15"/>
    </row>
    <row r="1104" ht="22.5" customHeight="1">
      <c r="A1104" s="32" t="str">
        <f t="shared" si="1"/>
        <v>5/2026</v>
      </c>
      <c r="B1104" s="25">
        <v>46144.78221365741</v>
      </c>
      <c r="C1104" s="21" t="s">
        <v>115</v>
      </c>
      <c r="D1104" s="21" t="s">
        <v>4042</v>
      </c>
      <c r="E1104" s="26" t="s">
        <v>4043</v>
      </c>
      <c r="F1104" s="21" t="s">
        <v>4044</v>
      </c>
      <c r="G1104" s="21" t="s">
        <v>3357</v>
      </c>
      <c r="H1104" s="21" t="s">
        <v>141</v>
      </c>
      <c r="I1104" s="21" t="s">
        <v>4045</v>
      </c>
      <c r="J1104" s="21" t="s">
        <v>4046</v>
      </c>
      <c r="K1104" s="21" t="s">
        <v>122</v>
      </c>
      <c r="M1104" s="15"/>
      <c r="N1104" s="15"/>
      <c r="O1104" s="15"/>
    </row>
    <row r="1105" ht="22.5" customHeight="1">
      <c r="A1105" s="32" t="str">
        <f t="shared" si="1"/>
        <v>5/2026</v>
      </c>
      <c r="B1105" s="25">
        <v>46145.82058299769</v>
      </c>
      <c r="C1105" s="21" t="s">
        <v>659</v>
      </c>
      <c r="D1105" s="21" t="s">
        <v>4047</v>
      </c>
      <c r="E1105" s="26" t="s">
        <v>4048</v>
      </c>
      <c r="F1105" s="21" t="s">
        <v>290</v>
      </c>
      <c r="G1105" s="21" t="s">
        <v>3357</v>
      </c>
      <c r="H1105" s="21" t="s">
        <v>36</v>
      </c>
      <c r="I1105" s="29" t="s">
        <v>4049</v>
      </c>
      <c r="J1105" s="21" t="s">
        <v>1013</v>
      </c>
      <c r="K1105" s="21">
        <v>1.19823021300195E14</v>
      </c>
      <c r="L1105" s="21">
        <v>1.0</v>
      </c>
      <c r="M1105" s="15"/>
      <c r="N1105" s="15"/>
      <c r="O1105" s="15"/>
    </row>
    <row r="1106" ht="22.5" customHeight="1">
      <c r="A1106" s="32" t="str">
        <f t="shared" si="1"/>
        <v>5/2026</v>
      </c>
      <c r="B1106" s="25">
        <v>46145.837931250004</v>
      </c>
      <c r="C1106" s="21" t="s">
        <v>77</v>
      </c>
      <c r="D1106" s="21" t="s">
        <v>4050</v>
      </c>
      <c r="E1106" s="26" t="s">
        <v>4051</v>
      </c>
      <c r="F1106" s="21" t="s">
        <v>64</v>
      </c>
      <c r="G1106" s="21" t="s">
        <v>3689</v>
      </c>
      <c r="H1106" s="21" t="s">
        <v>36</v>
      </c>
      <c r="I1106" s="29" t="s">
        <v>4052</v>
      </c>
      <c r="J1106" s="21" t="s">
        <v>3076</v>
      </c>
      <c r="K1106" s="21">
        <v>1.39823112300251E14</v>
      </c>
      <c r="M1106" s="15"/>
      <c r="N1106" s="15"/>
      <c r="O1106" s="15"/>
    </row>
    <row r="1107" ht="22.5" customHeight="1">
      <c r="A1107" s="32" t="str">
        <f t="shared" si="1"/>
        <v>5/2026</v>
      </c>
      <c r="B1107" s="25">
        <v>46146.49489989583</v>
      </c>
      <c r="C1107" s="21" t="s">
        <v>3008</v>
      </c>
      <c r="D1107" s="21" t="s">
        <v>4053</v>
      </c>
      <c r="E1107" s="26" t="s">
        <v>4054</v>
      </c>
      <c r="F1107" s="21" t="s">
        <v>303</v>
      </c>
      <c r="G1107" s="21" t="s">
        <v>3373</v>
      </c>
      <c r="H1107" s="21" t="s">
        <v>36</v>
      </c>
      <c r="I1107" s="21" t="s">
        <v>4055</v>
      </c>
      <c r="K1107" s="21">
        <v>1.3982206040009E14</v>
      </c>
      <c r="M1107" s="15"/>
      <c r="N1107" s="15"/>
      <c r="O1107" s="15"/>
    </row>
    <row r="1108" ht="22.5" customHeight="1">
      <c r="A1108" s="32" t="str">
        <f t="shared" si="1"/>
        <v>5/2026</v>
      </c>
      <c r="B1108" s="25">
        <v>46146.52234653935</v>
      </c>
      <c r="C1108" s="21" t="s">
        <v>32</v>
      </c>
      <c r="D1108" s="21" t="s">
        <v>4056</v>
      </c>
      <c r="E1108" s="26" t="s">
        <v>4057</v>
      </c>
      <c r="F1108" s="21" t="s">
        <v>18</v>
      </c>
      <c r="G1108" s="21" t="s">
        <v>3469</v>
      </c>
      <c r="H1108" s="21" t="s">
        <v>20</v>
      </c>
      <c r="I1108" s="21" t="s">
        <v>4058</v>
      </c>
      <c r="K1108" s="21">
        <v>1.86825082100185E14</v>
      </c>
      <c r="M1108" s="15"/>
      <c r="N1108" s="15"/>
      <c r="O1108" s="15"/>
    </row>
    <row r="1109" ht="22.5" customHeight="1">
      <c r="A1109" s="32" t="str">
        <f t="shared" si="1"/>
        <v>5/2026</v>
      </c>
      <c r="B1109" s="25">
        <v>46146.52749959491</v>
      </c>
      <c r="C1109" s="21" t="s">
        <v>132</v>
      </c>
      <c r="D1109" s="21" t="s">
        <v>4059</v>
      </c>
      <c r="E1109" s="26" t="s">
        <v>4060</v>
      </c>
      <c r="F1109" s="21" t="s">
        <v>18</v>
      </c>
      <c r="G1109" s="21" t="s">
        <v>291</v>
      </c>
      <c r="H1109" s="21" t="s">
        <v>20</v>
      </c>
      <c r="I1109" s="21" t="s">
        <v>4061</v>
      </c>
      <c r="K1109" s="21">
        <v>1.85826020700003E14</v>
      </c>
      <c r="M1109" s="15"/>
      <c r="N1109" s="15"/>
      <c r="O1109" s="15"/>
    </row>
    <row r="1110" ht="22.5" customHeight="1">
      <c r="A1110" s="32" t="str">
        <f t="shared" si="1"/>
        <v>5/2026</v>
      </c>
      <c r="B1110" s="25">
        <v>46146.69443134259</v>
      </c>
      <c r="C1110" s="21" t="s">
        <v>132</v>
      </c>
      <c r="D1110" s="21" t="s">
        <v>4062</v>
      </c>
      <c r="E1110" s="26" t="s">
        <v>4063</v>
      </c>
      <c r="F1110" s="21" t="s">
        <v>18</v>
      </c>
      <c r="G1110" s="21" t="s">
        <v>3357</v>
      </c>
      <c r="H1110" s="21" t="s">
        <v>36</v>
      </c>
      <c r="I1110" s="21" t="s">
        <v>4064</v>
      </c>
      <c r="K1110" s="21">
        <v>1.19824092800229E14</v>
      </c>
      <c r="M1110" s="15"/>
      <c r="N1110" s="15"/>
      <c r="O1110" s="15"/>
    </row>
    <row r="1111" ht="22.5" customHeight="1">
      <c r="A1111" s="32" t="str">
        <f t="shared" si="1"/>
        <v>5/2026</v>
      </c>
      <c r="B1111" s="25">
        <v>46146.695070428235</v>
      </c>
      <c r="C1111" s="21" t="s">
        <v>408</v>
      </c>
      <c r="D1111" s="21" t="s">
        <v>2439</v>
      </c>
      <c r="E1111" s="26" t="s">
        <v>4065</v>
      </c>
      <c r="F1111" s="21" t="s">
        <v>118</v>
      </c>
      <c r="G1111" s="21" t="s">
        <v>3373</v>
      </c>
      <c r="H1111" s="21" t="s">
        <v>36</v>
      </c>
      <c r="I1111" s="21" t="s">
        <v>4066</v>
      </c>
      <c r="J1111" s="21" t="s">
        <v>4067</v>
      </c>
      <c r="K1111" s="21">
        <v>1.39824092700457E14</v>
      </c>
      <c r="M1111" s="15"/>
      <c r="N1111" s="15"/>
      <c r="O1111" s="15"/>
    </row>
    <row r="1112" ht="22.5" customHeight="1">
      <c r="A1112" s="32" t="str">
        <f t="shared" si="1"/>
        <v>5/2026</v>
      </c>
      <c r="B1112" s="25">
        <v>46146.6964915625</v>
      </c>
      <c r="C1112" s="21" t="s">
        <v>132</v>
      </c>
      <c r="D1112" s="21" t="s">
        <v>3928</v>
      </c>
      <c r="E1112" s="26" t="s">
        <v>4068</v>
      </c>
      <c r="F1112" s="21" t="s">
        <v>18</v>
      </c>
      <c r="G1112" s="21" t="s">
        <v>3469</v>
      </c>
      <c r="H1112" s="21" t="s">
        <v>20</v>
      </c>
      <c r="I1112" s="21" t="s">
        <v>4069</v>
      </c>
      <c r="K1112" s="21">
        <v>1.86825123100083E14</v>
      </c>
      <c r="M1112" s="15"/>
      <c r="N1112" s="15"/>
      <c r="O1112" s="15"/>
    </row>
    <row r="1113" ht="22.5" customHeight="1">
      <c r="A1113" s="32" t="str">
        <f t="shared" si="1"/>
        <v>5/2026</v>
      </c>
      <c r="B1113" s="25">
        <v>46146.69890599537</v>
      </c>
      <c r="C1113" s="21" t="s">
        <v>408</v>
      </c>
      <c r="D1113" s="21" t="s">
        <v>1709</v>
      </c>
      <c r="E1113" s="26" t="s">
        <v>4070</v>
      </c>
      <c r="F1113" s="21" t="s">
        <v>118</v>
      </c>
      <c r="G1113" s="21" t="s">
        <v>3357</v>
      </c>
      <c r="H1113" s="21" t="s">
        <v>36</v>
      </c>
      <c r="I1113" s="21" t="s">
        <v>4071</v>
      </c>
      <c r="J1113" s="21" t="s">
        <v>4072</v>
      </c>
      <c r="K1113" s="21">
        <v>1.19821040600348E14</v>
      </c>
      <c r="M1113" s="15"/>
      <c r="N1113" s="15"/>
      <c r="O1113" s="15"/>
    </row>
    <row r="1114" ht="22.5" customHeight="1">
      <c r="A1114" s="32" t="str">
        <f t="shared" si="1"/>
        <v>5/2026</v>
      </c>
      <c r="B1114" s="25">
        <v>46146.71064228009</v>
      </c>
      <c r="C1114" s="21" t="s">
        <v>115</v>
      </c>
      <c r="D1114" s="21" t="s">
        <v>2379</v>
      </c>
      <c r="E1114" s="26" t="s">
        <v>4073</v>
      </c>
      <c r="F1114" s="21" t="s">
        <v>118</v>
      </c>
      <c r="G1114" s="21" t="s">
        <v>3469</v>
      </c>
      <c r="H1114" s="21" t="s">
        <v>425</v>
      </c>
      <c r="I1114" s="21" t="s">
        <v>4074</v>
      </c>
      <c r="J1114" s="21" t="s">
        <v>4075</v>
      </c>
      <c r="K1114" s="21">
        <v>1.86825082100006E14</v>
      </c>
      <c r="L1114" s="21">
        <v>12.0</v>
      </c>
      <c r="M1114" s="15"/>
      <c r="N1114" s="15"/>
      <c r="O1114" s="15"/>
    </row>
    <row r="1115" ht="22.5" customHeight="1">
      <c r="A1115" s="32" t="str">
        <f t="shared" si="1"/>
        <v>5/2026</v>
      </c>
      <c r="B1115" s="25">
        <v>46146.71205780093</v>
      </c>
      <c r="C1115" s="21" t="s">
        <v>115</v>
      </c>
      <c r="D1115" s="21" t="s">
        <v>4076</v>
      </c>
      <c r="E1115" s="26" t="s">
        <v>4077</v>
      </c>
      <c r="F1115" s="21" t="s">
        <v>118</v>
      </c>
      <c r="G1115" s="21" t="s">
        <v>3373</v>
      </c>
      <c r="H1115" s="21" t="s">
        <v>36</v>
      </c>
      <c r="I1115" s="21" t="s">
        <v>4078</v>
      </c>
      <c r="J1115" s="21" t="s">
        <v>965</v>
      </c>
      <c r="K1115" s="21">
        <v>1.39823072500054E14</v>
      </c>
      <c r="M1115" s="15"/>
      <c r="N1115" s="15"/>
      <c r="O1115" s="15"/>
    </row>
    <row r="1116" ht="22.5" customHeight="1">
      <c r="A1116" s="32" t="str">
        <f t="shared" si="1"/>
        <v>5/2026</v>
      </c>
      <c r="B1116" s="25">
        <v>46146.764013761574</v>
      </c>
      <c r="C1116" s="21" t="s">
        <v>32</v>
      </c>
      <c r="D1116" s="21" t="s">
        <v>4079</v>
      </c>
      <c r="E1116" s="26" t="s">
        <v>4080</v>
      </c>
      <c r="F1116" s="21" t="s">
        <v>18</v>
      </c>
      <c r="G1116" s="21" t="s">
        <v>3350</v>
      </c>
      <c r="H1116" s="21" t="s">
        <v>36</v>
      </c>
      <c r="I1116" s="21" t="s">
        <v>4081</v>
      </c>
      <c r="K1116" s="21">
        <v>1.19823021300403E14</v>
      </c>
      <c r="M1116" s="15"/>
      <c r="N1116" s="15"/>
      <c r="O1116" s="15"/>
    </row>
    <row r="1117" ht="22.5" customHeight="1">
      <c r="A1117" s="32" t="str">
        <f t="shared" si="1"/>
        <v>5/2026</v>
      </c>
      <c r="B1117" s="25">
        <v>46146.77152497685</v>
      </c>
      <c r="C1117" s="21" t="s">
        <v>214</v>
      </c>
      <c r="D1117" s="21" t="s">
        <v>2257</v>
      </c>
      <c r="E1117" s="26" t="s">
        <v>4082</v>
      </c>
      <c r="F1117" s="21" t="s">
        <v>18</v>
      </c>
      <c r="G1117" s="21" t="s">
        <v>3357</v>
      </c>
      <c r="H1117" s="21" t="s">
        <v>36</v>
      </c>
      <c r="I1117" s="21" t="s">
        <v>4083</v>
      </c>
      <c r="K1117" s="21">
        <v>1.19824092800371E14</v>
      </c>
      <c r="M1117" s="15"/>
      <c r="N1117" s="15"/>
      <c r="O1117" s="15"/>
    </row>
    <row r="1118" ht="22.5" customHeight="1">
      <c r="A1118" s="32" t="str">
        <f t="shared" si="1"/>
        <v>5/2026</v>
      </c>
      <c r="B1118" s="25">
        <v>46147.37590189815</v>
      </c>
      <c r="C1118" s="21" t="s">
        <v>103</v>
      </c>
      <c r="D1118" s="21" t="s">
        <v>4084</v>
      </c>
      <c r="E1118" s="26" t="s">
        <v>4085</v>
      </c>
      <c r="F1118" s="21" t="s">
        <v>106</v>
      </c>
      <c r="G1118" s="21" t="s">
        <v>3350</v>
      </c>
      <c r="H1118" s="21" t="s">
        <v>36</v>
      </c>
      <c r="I1118" s="21" t="s">
        <v>4086</v>
      </c>
      <c r="J1118" s="21" t="s">
        <v>3754</v>
      </c>
      <c r="K1118" s="21">
        <v>1.19824110100163E14</v>
      </c>
      <c r="M1118" s="15"/>
      <c r="N1118" s="15"/>
      <c r="O1118" s="15"/>
    </row>
    <row r="1119" ht="22.5" customHeight="1">
      <c r="A1119" s="32" t="str">
        <f t="shared" si="1"/>
        <v>5/2026</v>
      </c>
      <c r="B1119" s="25">
        <v>46147.51053371528</v>
      </c>
      <c r="C1119" s="21" t="s">
        <v>618</v>
      </c>
      <c r="D1119" s="21" t="s">
        <v>4087</v>
      </c>
      <c r="E1119" s="26" t="s">
        <v>4088</v>
      </c>
      <c r="F1119" s="21" t="s">
        <v>118</v>
      </c>
      <c r="G1119" s="21" t="s">
        <v>291</v>
      </c>
      <c r="H1119" s="21" t="s">
        <v>20</v>
      </c>
      <c r="I1119" s="21" t="s">
        <v>4089</v>
      </c>
      <c r="K1119" s="21">
        <v>1.85826020700143E14</v>
      </c>
      <c r="L1119" s="21">
        <v>18.0</v>
      </c>
      <c r="M1119" s="15"/>
      <c r="N1119" s="15"/>
      <c r="O1119" s="15"/>
    </row>
    <row r="1120" ht="22.5" customHeight="1">
      <c r="A1120" s="32" t="str">
        <f t="shared" si="1"/>
        <v>5/2026</v>
      </c>
      <c r="B1120" s="25">
        <v>46147.668648125</v>
      </c>
      <c r="C1120" s="21" t="s">
        <v>408</v>
      </c>
      <c r="D1120" s="21" t="s">
        <v>4090</v>
      </c>
      <c r="E1120" s="26" t="s">
        <v>4091</v>
      </c>
      <c r="F1120" s="21" t="s">
        <v>118</v>
      </c>
      <c r="G1120" s="21" t="s">
        <v>3357</v>
      </c>
      <c r="H1120" s="21" t="s">
        <v>36</v>
      </c>
      <c r="I1120" s="21" t="s">
        <v>4092</v>
      </c>
      <c r="J1120" s="21" t="s">
        <v>3728</v>
      </c>
      <c r="K1120" s="21">
        <v>8.92824061500191E14</v>
      </c>
      <c r="M1120" s="15"/>
      <c r="N1120" s="15"/>
      <c r="O1120" s="15"/>
    </row>
    <row r="1121" ht="22.5" customHeight="1">
      <c r="A1121" s="32" t="str">
        <f t="shared" si="1"/>
        <v>5/2026</v>
      </c>
      <c r="B1121" s="25">
        <v>46147.72197813657</v>
      </c>
      <c r="C1121" s="21" t="s">
        <v>115</v>
      </c>
      <c r="D1121" s="26" t="s">
        <v>4093</v>
      </c>
      <c r="E1121" s="21" t="s">
        <v>2639</v>
      </c>
      <c r="F1121" s="21" t="s">
        <v>118</v>
      </c>
      <c r="G1121" s="21" t="s">
        <v>3357</v>
      </c>
      <c r="H1121" s="21" t="s">
        <v>36</v>
      </c>
      <c r="I1121" s="21" t="s">
        <v>4094</v>
      </c>
      <c r="J1121" s="21" t="s">
        <v>965</v>
      </c>
      <c r="K1121" s="21">
        <v>1.19824092800039E14</v>
      </c>
      <c r="L1121" s="21">
        <v>19.0</v>
      </c>
      <c r="M1121" s="15"/>
      <c r="N1121" s="15"/>
      <c r="O1121" s="15"/>
    </row>
    <row r="1122" ht="22.5" customHeight="1">
      <c r="A1122" s="32" t="str">
        <f t="shared" si="1"/>
        <v>5/2026</v>
      </c>
      <c r="B1122" s="25">
        <v>46147.72526248843</v>
      </c>
      <c r="C1122" s="21" t="s">
        <v>115</v>
      </c>
      <c r="D1122" s="21" t="s">
        <v>1852</v>
      </c>
      <c r="E1122" s="21" t="s">
        <v>4095</v>
      </c>
      <c r="F1122" s="21" t="s">
        <v>118</v>
      </c>
      <c r="G1122" s="21" t="s">
        <v>4096</v>
      </c>
      <c r="H1122" s="21" t="s">
        <v>141</v>
      </c>
      <c r="I1122" s="21" t="s">
        <v>4097</v>
      </c>
      <c r="J1122" s="21" t="s">
        <v>4098</v>
      </c>
      <c r="K1122" s="21" t="s">
        <v>122</v>
      </c>
      <c r="M1122" s="15"/>
      <c r="N1122" s="15"/>
      <c r="O1122" s="15"/>
    </row>
    <row r="1123" ht="22.5" customHeight="1">
      <c r="A1123" s="32" t="str">
        <f t="shared" si="1"/>
        <v>5/2026</v>
      </c>
      <c r="B1123" s="25">
        <v>46147.73047863426</v>
      </c>
      <c r="C1123" s="21" t="s">
        <v>115</v>
      </c>
      <c r="D1123" s="21" t="s">
        <v>4099</v>
      </c>
      <c r="E1123" s="26" t="s">
        <v>463</v>
      </c>
      <c r="F1123" s="21" t="s">
        <v>118</v>
      </c>
      <c r="G1123" s="21" t="s">
        <v>4100</v>
      </c>
      <c r="H1123" s="21" t="s">
        <v>141</v>
      </c>
      <c r="I1123" s="21" t="s">
        <v>4101</v>
      </c>
      <c r="J1123" s="21" t="s">
        <v>4102</v>
      </c>
      <c r="K1123" s="21" t="s">
        <v>122</v>
      </c>
      <c r="M1123" s="15"/>
      <c r="N1123" s="15"/>
      <c r="O1123" s="15"/>
    </row>
    <row r="1124" ht="22.5" customHeight="1">
      <c r="A1124" s="32" t="str">
        <f t="shared" si="1"/>
        <v>5/2026</v>
      </c>
      <c r="B1124" s="25">
        <v>46147.747597696754</v>
      </c>
      <c r="C1124" s="21" t="s">
        <v>408</v>
      </c>
      <c r="D1124" s="21" t="s">
        <v>4103</v>
      </c>
      <c r="E1124" s="26" t="s">
        <v>4104</v>
      </c>
      <c r="F1124" s="21" t="s">
        <v>118</v>
      </c>
      <c r="G1124" s="21" t="s">
        <v>3373</v>
      </c>
      <c r="H1124" s="21" t="s">
        <v>36</v>
      </c>
      <c r="I1124" s="21" t="s">
        <v>4105</v>
      </c>
      <c r="K1124" s="21">
        <v>1.39824092700127E14</v>
      </c>
      <c r="M1124" s="15"/>
      <c r="N1124" s="15"/>
      <c r="O1124" s="15"/>
    </row>
    <row r="1125" ht="22.5" customHeight="1">
      <c r="A1125" s="32" t="str">
        <f t="shared" si="1"/>
        <v>5/2026</v>
      </c>
      <c r="B1125" s="25">
        <v>46148.76072498843</v>
      </c>
      <c r="C1125" s="21" t="s">
        <v>115</v>
      </c>
      <c r="D1125" s="21" t="s">
        <v>4106</v>
      </c>
      <c r="E1125" s="26" t="s">
        <v>4107</v>
      </c>
      <c r="F1125" s="21" t="s">
        <v>118</v>
      </c>
      <c r="G1125" s="21" t="s">
        <v>3357</v>
      </c>
      <c r="H1125" s="21" t="s">
        <v>36</v>
      </c>
      <c r="I1125" s="21" t="s">
        <v>4108</v>
      </c>
      <c r="J1125" s="21" t="s">
        <v>965</v>
      </c>
      <c r="K1125" s="21">
        <v>1.19823091200034E14</v>
      </c>
      <c r="M1125" s="15"/>
      <c r="N1125" s="15"/>
      <c r="O1125" s="15"/>
    </row>
    <row r="1126" ht="22.5" customHeight="1">
      <c r="A1126" s="32" t="str">
        <f t="shared" si="1"/>
        <v>5/2026</v>
      </c>
      <c r="B1126" s="25">
        <v>46148.76218892361</v>
      </c>
      <c r="C1126" s="21" t="s">
        <v>115</v>
      </c>
      <c r="D1126" s="21" t="s">
        <v>4109</v>
      </c>
      <c r="E1126" s="26" t="s">
        <v>4110</v>
      </c>
      <c r="F1126" s="21" t="s">
        <v>118</v>
      </c>
      <c r="G1126" s="21" t="s">
        <v>3373</v>
      </c>
      <c r="H1126" s="21" t="s">
        <v>36</v>
      </c>
      <c r="I1126" s="21" t="s">
        <v>4111</v>
      </c>
      <c r="J1126" s="21" t="s">
        <v>965</v>
      </c>
      <c r="K1126" s="21">
        <v>1.39824102800019E14</v>
      </c>
      <c r="M1126" s="15"/>
      <c r="N1126" s="15"/>
      <c r="O1126" s="15"/>
    </row>
    <row r="1127" ht="22.5" customHeight="1">
      <c r="A1127" s="32" t="str">
        <f t="shared" si="1"/>
        <v>5/2026</v>
      </c>
      <c r="B1127" s="25">
        <v>46148.81328445602</v>
      </c>
      <c r="C1127" s="21" t="s">
        <v>3000</v>
      </c>
      <c r="D1127" s="21" t="s">
        <v>4112</v>
      </c>
      <c r="E1127" s="26" t="s">
        <v>4113</v>
      </c>
      <c r="F1127" s="21" t="s">
        <v>3002</v>
      </c>
      <c r="G1127" s="21" t="s">
        <v>3451</v>
      </c>
      <c r="H1127" s="21" t="s">
        <v>44</v>
      </c>
      <c r="I1127" s="21" t="s">
        <v>4114</v>
      </c>
      <c r="J1127" s="21" t="s">
        <v>4115</v>
      </c>
      <c r="K1127" s="21">
        <v>1.84825123100267E14</v>
      </c>
      <c r="L1127" s="21">
        <v>60.0</v>
      </c>
      <c r="M1127" s="15"/>
      <c r="N1127" s="15"/>
      <c r="O1127" s="15"/>
    </row>
    <row r="1128" ht="22.5" customHeight="1">
      <c r="A1128" s="32" t="str">
        <f t="shared" si="1"/>
        <v>5/2026</v>
      </c>
      <c r="B1128" s="25">
        <v>46148.88160475694</v>
      </c>
      <c r="C1128" s="21" t="s">
        <v>77</v>
      </c>
      <c r="D1128" s="21" t="s">
        <v>4116</v>
      </c>
      <c r="E1128" s="26" t="s">
        <v>4117</v>
      </c>
      <c r="F1128" s="21" t="s">
        <v>64</v>
      </c>
      <c r="G1128" s="21" t="s">
        <v>291</v>
      </c>
      <c r="H1128" s="21" t="s">
        <v>44</v>
      </c>
      <c r="I1128" s="21" t="s">
        <v>4118</v>
      </c>
      <c r="J1128" s="21" t="s">
        <v>4119</v>
      </c>
      <c r="K1128" s="21">
        <v>1.85826020700084E14</v>
      </c>
      <c r="M1128" s="15"/>
      <c r="N1128" s="15"/>
      <c r="O1128" s="15"/>
    </row>
    <row r="1129" ht="22.5" customHeight="1">
      <c r="A1129" s="32" t="str">
        <f t="shared" si="1"/>
        <v>5/2026</v>
      </c>
      <c r="B1129" s="25">
        <v>46148.9005962963</v>
      </c>
      <c r="C1129" s="21" t="s">
        <v>56</v>
      </c>
      <c r="D1129" s="21" t="s">
        <v>4120</v>
      </c>
      <c r="E1129" s="26" t="s">
        <v>4121</v>
      </c>
      <c r="F1129" s="21" t="s">
        <v>18</v>
      </c>
      <c r="G1129" s="21" t="s">
        <v>3350</v>
      </c>
      <c r="H1129" s="21" t="s">
        <v>36</v>
      </c>
      <c r="I1129" s="21" t="s">
        <v>4122</v>
      </c>
      <c r="J1129" s="21" t="s">
        <v>102</v>
      </c>
      <c r="K1129" s="21">
        <v>1.19823091200027E14</v>
      </c>
      <c r="L1129" s="21">
        <v>52.0</v>
      </c>
      <c r="M1129" s="15"/>
      <c r="N1129" s="15"/>
      <c r="O1129" s="15"/>
    </row>
    <row r="1130" ht="22.5" customHeight="1">
      <c r="A1130" s="32" t="str">
        <f t="shared" si="1"/>
        <v>5/2026</v>
      </c>
      <c r="B1130" s="25">
        <v>46148.90283922454</v>
      </c>
      <c r="C1130" s="21" t="s">
        <v>56</v>
      </c>
      <c r="D1130" s="21" t="s">
        <v>4123</v>
      </c>
      <c r="E1130" s="26" t="s">
        <v>4124</v>
      </c>
      <c r="F1130" s="21" t="s">
        <v>18</v>
      </c>
      <c r="G1130" s="21" t="s">
        <v>3432</v>
      </c>
      <c r="H1130" s="21" t="s">
        <v>36</v>
      </c>
      <c r="I1130" s="21" t="s">
        <v>4125</v>
      </c>
      <c r="K1130" s="21">
        <v>1.39824102800099E14</v>
      </c>
      <c r="M1130" s="15"/>
      <c r="N1130" s="15"/>
      <c r="O1130" s="15"/>
    </row>
    <row r="1131" ht="22.5" customHeight="1">
      <c r="A1131" s="32" t="str">
        <f t="shared" si="1"/>
        <v>5/2026</v>
      </c>
      <c r="B1131" s="25">
        <v>46149.35904429398</v>
      </c>
      <c r="C1131" s="21" t="s">
        <v>56</v>
      </c>
      <c r="D1131" s="21" t="s">
        <v>2289</v>
      </c>
      <c r="E1131" s="26" t="s">
        <v>4126</v>
      </c>
      <c r="F1131" s="21" t="s">
        <v>18</v>
      </c>
      <c r="G1131" s="21" t="s">
        <v>3432</v>
      </c>
      <c r="H1131" s="21" t="s">
        <v>36</v>
      </c>
      <c r="I1131" s="21" t="s">
        <v>4127</v>
      </c>
      <c r="K1131" s="21">
        <v>1.39824102800456E14</v>
      </c>
      <c r="M1131" s="15"/>
      <c r="N1131" s="15"/>
      <c r="O1131" s="15"/>
    </row>
    <row r="1132" ht="22.5" customHeight="1">
      <c r="A1132" s="32" t="str">
        <f t="shared" si="1"/>
        <v>5/2026</v>
      </c>
      <c r="B1132" s="25">
        <v>46149.362394247684</v>
      </c>
      <c r="C1132" s="21" t="s">
        <v>56</v>
      </c>
      <c r="D1132" s="21" t="s">
        <v>3824</v>
      </c>
      <c r="E1132" s="26" t="s">
        <v>4128</v>
      </c>
      <c r="F1132" s="21" t="s">
        <v>18</v>
      </c>
      <c r="G1132" s="21" t="s">
        <v>3432</v>
      </c>
      <c r="H1132" s="21" t="s">
        <v>36</v>
      </c>
      <c r="I1132" s="21" t="s">
        <v>4129</v>
      </c>
      <c r="K1132" s="21">
        <v>1.39824092700665E14</v>
      </c>
      <c r="M1132" s="15"/>
      <c r="N1132" s="15"/>
      <c r="O1132" s="15"/>
    </row>
    <row r="1133" ht="22.5" customHeight="1">
      <c r="A1133" s="32" t="str">
        <f t="shared" si="1"/>
        <v>5/2026</v>
      </c>
      <c r="B1133" s="25">
        <v>46149.438447187495</v>
      </c>
      <c r="C1133" s="21" t="s">
        <v>408</v>
      </c>
      <c r="D1133" s="21" t="s">
        <v>4130</v>
      </c>
      <c r="E1133" s="26" t="s">
        <v>2557</v>
      </c>
      <c r="F1133" s="21" t="s">
        <v>118</v>
      </c>
      <c r="G1133" s="21" t="s">
        <v>3399</v>
      </c>
      <c r="H1133" s="21" t="s">
        <v>2594</v>
      </c>
      <c r="I1133" s="21" t="s">
        <v>4131</v>
      </c>
      <c r="J1133" s="21" t="s">
        <v>4132</v>
      </c>
      <c r="K1133" s="21">
        <v>1.39824092700211E14</v>
      </c>
      <c r="M1133" s="15"/>
      <c r="N1133" s="15"/>
      <c r="O1133" s="15"/>
    </row>
    <row r="1134" ht="22.5" customHeight="1">
      <c r="A1134" s="32" t="str">
        <f t="shared" si="1"/>
        <v>5/2026</v>
      </c>
      <c r="B1134" s="25">
        <v>46149.693786250005</v>
      </c>
      <c r="C1134" s="21" t="s">
        <v>115</v>
      </c>
      <c r="D1134" s="21" t="s">
        <v>4133</v>
      </c>
      <c r="E1134" s="21" t="s">
        <v>4134</v>
      </c>
      <c r="F1134" s="21" t="s">
        <v>118</v>
      </c>
      <c r="G1134" s="21" t="s">
        <v>291</v>
      </c>
      <c r="H1134" s="21" t="s">
        <v>141</v>
      </c>
      <c r="I1134" s="21" t="s">
        <v>4135</v>
      </c>
      <c r="J1134" s="21" t="s">
        <v>4136</v>
      </c>
      <c r="K1134" s="21" t="s">
        <v>122</v>
      </c>
      <c r="M1134" s="15"/>
      <c r="N1134" s="15"/>
      <c r="O1134" s="15"/>
    </row>
    <row r="1135" ht="22.5" customHeight="1">
      <c r="A1135" s="32" t="str">
        <f t="shared" si="1"/>
        <v>5/2026</v>
      </c>
      <c r="B1135" s="25">
        <v>46149.78580619213</v>
      </c>
      <c r="C1135" s="21" t="s">
        <v>214</v>
      </c>
      <c r="D1135" s="21" t="s">
        <v>4137</v>
      </c>
      <c r="E1135" s="26" t="s">
        <v>4138</v>
      </c>
      <c r="F1135" s="21" t="s">
        <v>18</v>
      </c>
      <c r="G1135" s="21" t="s">
        <v>3357</v>
      </c>
      <c r="H1135" s="21" t="s">
        <v>36</v>
      </c>
      <c r="I1135" s="21" t="s">
        <v>4139</v>
      </c>
      <c r="K1135" s="21">
        <v>8.92824061500202E14</v>
      </c>
      <c r="M1135" s="15"/>
      <c r="N1135" s="15"/>
      <c r="O1135" s="15"/>
    </row>
    <row r="1136" ht="22.5" customHeight="1">
      <c r="A1136" s="32" t="str">
        <f t="shared" si="1"/>
        <v>5/2026</v>
      </c>
      <c r="B1136" s="25">
        <v>46149.787148020834</v>
      </c>
      <c r="C1136" s="21" t="s">
        <v>214</v>
      </c>
      <c r="D1136" s="21" t="s">
        <v>4140</v>
      </c>
      <c r="E1136" s="26" t="s">
        <v>4141</v>
      </c>
      <c r="F1136" s="21" t="s">
        <v>18</v>
      </c>
      <c r="G1136" s="21" t="s">
        <v>3373</v>
      </c>
      <c r="H1136" s="21" t="s">
        <v>36</v>
      </c>
      <c r="I1136" s="21" t="s">
        <v>4142</v>
      </c>
      <c r="K1136" s="21">
        <v>1.39823112300564E14</v>
      </c>
      <c r="M1136" s="15"/>
      <c r="N1136" s="15"/>
      <c r="O1136" s="15"/>
    </row>
    <row r="1137" ht="22.5" customHeight="1">
      <c r="A1137" s="32" t="str">
        <f t="shared" si="1"/>
        <v>5/2026</v>
      </c>
      <c r="B1137" s="25">
        <v>46149.827118229165</v>
      </c>
      <c r="C1137" s="21" t="s">
        <v>386</v>
      </c>
      <c r="D1137" s="21" t="s">
        <v>116</v>
      </c>
      <c r="E1137" s="26" t="s">
        <v>4143</v>
      </c>
      <c r="F1137" s="21" t="s">
        <v>18</v>
      </c>
      <c r="G1137" s="21" t="s">
        <v>3357</v>
      </c>
      <c r="H1137" s="21" t="s">
        <v>36</v>
      </c>
      <c r="I1137" s="21" t="s">
        <v>4144</v>
      </c>
      <c r="J1137" s="21" t="s">
        <v>4145</v>
      </c>
      <c r="K1137" s="21">
        <v>8.92821080500108E14</v>
      </c>
      <c r="M1137" s="15"/>
      <c r="N1137" s="15"/>
      <c r="O1137" s="15"/>
    </row>
    <row r="1138" ht="22.5" customHeight="1">
      <c r="A1138" s="32" t="str">
        <f t="shared" si="1"/>
        <v>5/2026</v>
      </c>
      <c r="B1138" s="25">
        <v>46149.83206987269</v>
      </c>
      <c r="C1138" s="21" t="s">
        <v>386</v>
      </c>
      <c r="D1138" s="21" t="s">
        <v>4146</v>
      </c>
      <c r="E1138" s="26" t="s">
        <v>4147</v>
      </c>
      <c r="F1138" s="21" t="s">
        <v>18</v>
      </c>
      <c r="G1138" s="21" t="s">
        <v>3432</v>
      </c>
      <c r="H1138" s="21" t="s">
        <v>36</v>
      </c>
      <c r="I1138" s="21" t="s">
        <v>4148</v>
      </c>
      <c r="J1138" s="21" t="s">
        <v>4149</v>
      </c>
      <c r="K1138" s="21">
        <v>1.39824102800203E14</v>
      </c>
      <c r="M1138" s="15"/>
      <c r="N1138" s="15"/>
      <c r="O1138" s="15"/>
    </row>
    <row r="1139" ht="22.5" customHeight="1">
      <c r="A1139" s="32" t="str">
        <f t="shared" si="1"/>
        <v>5/2026</v>
      </c>
      <c r="B1139" s="25">
        <v>46149.835293125</v>
      </c>
      <c r="C1139" s="21" t="s">
        <v>386</v>
      </c>
      <c r="D1139" s="21" t="s">
        <v>4150</v>
      </c>
      <c r="E1139" s="26" t="s">
        <v>190</v>
      </c>
      <c r="F1139" s="21" t="s">
        <v>18</v>
      </c>
      <c r="G1139" s="21" t="s">
        <v>3451</v>
      </c>
      <c r="H1139" s="21" t="s">
        <v>4151</v>
      </c>
      <c r="I1139" s="21" t="s">
        <v>4152</v>
      </c>
      <c r="J1139" s="21" t="s">
        <v>4153</v>
      </c>
      <c r="K1139" s="21">
        <v>1.84825082100131E14</v>
      </c>
      <c r="M1139" s="15"/>
      <c r="N1139" s="15"/>
      <c r="O1139" s="15"/>
    </row>
    <row r="1140" ht="22.5" customHeight="1">
      <c r="A1140" s="32" t="str">
        <f t="shared" si="1"/>
        <v>5/2026</v>
      </c>
      <c r="B1140" s="25">
        <v>46149.8383115162</v>
      </c>
      <c r="C1140" s="21" t="s">
        <v>386</v>
      </c>
      <c r="D1140" s="21" t="s">
        <v>4154</v>
      </c>
      <c r="E1140" s="26" t="s">
        <v>4155</v>
      </c>
      <c r="F1140" s="21" t="s">
        <v>18</v>
      </c>
      <c r="G1140" s="21" t="s">
        <v>3432</v>
      </c>
      <c r="H1140" s="21" t="s">
        <v>36</v>
      </c>
      <c r="I1140" s="21" t="s">
        <v>4156</v>
      </c>
      <c r="J1140" s="21" t="s">
        <v>4157</v>
      </c>
      <c r="K1140" s="21">
        <v>1.39825030500363E14</v>
      </c>
      <c r="M1140" s="15"/>
      <c r="N1140" s="15"/>
      <c r="O1140" s="15"/>
    </row>
    <row r="1141" ht="22.5" customHeight="1">
      <c r="A1141" s="32" t="str">
        <f t="shared" si="1"/>
        <v>5/2026</v>
      </c>
      <c r="B1141" s="25">
        <v>46149.839685960644</v>
      </c>
      <c r="C1141" s="21" t="s">
        <v>3186</v>
      </c>
      <c r="D1141" s="21" t="s">
        <v>4158</v>
      </c>
      <c r="E1141" s="26" t="s">
        <v>4159</v>
      </c>
      <c r="F1141" s="21" t="s">
        <v>18</v>
      </c>
      <c r="G1141" s="21" t="s">
        <v>3432</v>
      </c>
      <c r="H1141" s="21" t="s">
        <v>36</v>
      </c>
      <c r="I1141" s="21" t="s">
        <v>4160</v>
      </c>
      <c r="J1141" s="21" t="s">
        <v>366</v>
      </c>
      <c r="K1141" s="21">
        <v>1.39823091200316E14</v>
      </c>
      <c r="M1141" s="15"/>
      <c r="N1141" s="15"/>
      <c r="O1141" s="15"/>
    </row>
    <row r="1142" ht="22.5" customHeight="1">
      <c r="A1142" s="32" t="str">
        <f t="shared" si="1"/>
        <v>5/2026</v>
      </c>
      <c r="B1142" s="25">
        <v>46149.84186703704</v>
      </c>
      <c r="C1142" s="21" t="s">
        <v>386</v>
      </c>
      <c r="D1142" s="21" t="s">
        <v>4161</v>
      </c>
      <c r="E1142" s="26" t="s">
        <v>4162</v>
      </c>
      <c r="F1142" s="21" t="s">
        <v>18</v>
      </c>
      <c r="G1142" s="21" t="s">
        <v>3350</v>
      </c>
      <c r="H1142" s="21" t="s">
        <v>141</v>
      </c>
      <c r="I1142" s="21" t="s">
        <v>4163</v>
      </c>
      <c r="J1142" s="21" t="s">
        <v>4164</v>
      </c>
      <c r="K1142" s="21" t="s">
        <v>3604</v>
      </c>
      <c r="M1142" s="15"/>
      <c r="N1142" s="15"/>
      <c r="O1142" s="15"/>
    </row>
    <row r="1143" ht="22.5" customHeight="1">
      <c r="A1143" s="32" t="str">
        <f t="shared" si="1"/>
        <v>5/2026</v>
      </c>
      <c r="B1143" s="25">
        <v>46149.97515875</v>
      </c>
      <c r="C1143" s="21" t="s">
        <v>659</v>
      </c>
      <c r="D1143" s="21" t="s">
        <v>4165</v>
      </c>
      <c r="E1143" s="26" t="s">
        <v>4166</v>
      </c>
      <c r="F1143" s="21" t="s">
        <v>290</v>
      </c>
      <c r="G1143" s="21" t="s">
        <v>3451</v>
      </c>
      <c r="H1143" s="21" t="s">
        <v>44</v>
      </c>
      <c r="I1143" s="29" t="s">
        <v>4167</v>
      </c>
      <c r="J1143" s="21" t="s">
        <v>1013</v>
      </c>
      <c r="K1143" s="21">
        <v>1.84825123100351E14</v>
      </c>
      <c r="L1143" s="21">
        <v>18.0</v>
      </c>
      <c r="M1143" s="15"/>
      <c r="N1143" s="15"/>
      <c r="O1143" s="15"/>
    </row>
    <row r="1144" ht="22.5" customHeight="1">
      <c r="A1144" s="32" t="str">
        <f t="shared" si="1"/>
        <v>5/2026</v>
      </c>
      <c r="B1144" s="25">
        <v>46150.318256412036</v>
      </c>
      <c r="C1144" s="21" t="s">
        <v>287</v>
      </c>
      <c r="D1144" s="21" t="s">
        <v>4168</v>
      </c>
      <c r="E1144" s="26" t="s">
        <v>4169</v>
      </c>
      <c r="F1144" s="21" t="s">
        <v>482</v>
      </c>
      <c r="G1144" s="21" t="s">
        <v>3432</v>
      </c>
      <c r="H1144" s="21" t="s">
        <v>36</v>
      </c>
      <c r="I1144" s="21" t="s">
        <v>4170</v>
      </c>
      <c r="J1144" s="21" t="s">
        <v>4171</v>
      </c>
      <c r="K1144" s="21">
        <v>1.39824102800591E14</v>
      </c>
      <c r="M1144" s="15"/>
      <c r="N1144" s="15"/>
      <c r="O1144" s="15"/>
    </row>
    <row r="1145" ht="22.5" customHeight="1">
      <c r="A1145" s="32" t="str">
        <f t="shared" si="1"/>
        <v>5/2026</v>
      </c>
      <c r="B1145" s="25">
        <v>46150.32494628472</v>
      </c>
      <c r="C1145" s="21" t="s">
        <v>287</v>
      </c>
      <c r="D1145" s="21" t="s">
        <v>4172</v>
      </c>
      <c r="E1145" s="26" t="s">
        <v>4173</v>
      </c>
      <c r="F1145" s="21" t="s">
        <v>482</v>
      </c>
      <c r="G1145" s="21" t="s">
        <v>3432</v>
      </c>
      <c r="H1145" s="21" t="s">
        <v>36</v>
      </c>
      <c r="I1145" s="21" t="s">
        <v>4174</v>
      </c>
      <c r="J1145" s="21" t="s">
        <v>4175</v>
      </c>
      <c r="K1145" s="21">
        <v>1.19824110100029E14</v>
      </c>
      <c r="M1145" s="15"/>
      <c r="N1145" s="15"/>
      <c r="O1145" s="15"/>
    </row>
    <row r="1146" ht="22.5" customHeight="1">
      <c r="A1146" s="32" t="str">
        <f t="shared" si="1"/>
        <v>5/2026</v>
      </c>
      <c r="B1146" s="25">
        <v>46150.46979407407</v>
      </c>
      <c r="C1146" s="21" t="s">
        <v>103</v>
      </c>
      <c r="D1146" s="21" t="s">
        <v>4176</v>
      </c>
      <c r="E1146" s="26" t="s">
        <v>4177</v>
      </c>
      <c r="F1146" s="21" t="s">
        <v>106</v>
      </c>
      <c r="G1146" s="21" t="s">
        <v>291</v>
      </c>
      <c r="H1146" s="21" t="s">
        <v>20</v>
      </c>
      <c r="I1146" s="21" t="s">
        <v>4178</v>
      </c>
      <c r="J1146" s="21" t="s">
        <v>4179</v>
      </c>
      <c r="K1146" s="21">
        <v>1.85826020700059E14</v>
      </c>
      <c r="L1146" s="21">
        <v>50.0</v>
      </c>
      <c r="M1146" s="15"/>
      <c r="N1146" s="15"/>
      <c r="O1146" s="15"/>
    </row>
    <row r="1147" ht="22.5" customHeight="1">
      <c r="A1147" s="32" t="str">
        <f t="shared" si="1"/>
        <v>5/2026</v>
      </c>
      <c r="B1147" s="25">
        <v>46150.56063741898</v>
      </c>
      <c r="C1147" s="21" t="s">
        <v>188</v>
      </c>
      <c r="D1147" s="21" t="s">
        <v>4180</v>
      </c>
      <c r="E1147" s="26" t="s">
        <v>4181</v>
      </c>
      <c r="F1147" s="21" t="s">
        <v>191</v>
      </c>
      <c r="G1147" s="21" t="s">
        <v>291</v>
      </c>
      <c r="H1147" s="21" t="s">
        <v>20</v>
      </c>
      <c r="I1147" s="21" t="s">
        <v>4182</v>
      </c>
      <c r="J1147" s="21" t="s">
        <v>4183</v>
      </c>
      <c r="K1147" s="21">
        <v>1.8582602070008E14</v>
      </c>
      <c r="L1147" s="21">
        <v>32.0</v>
      </c>
      <c r="M1147" s="15"/>
      <c r="N1147" s="15"/>
      <c r="O1147" s="15"/>
    </row>
    <row r="1148" ht="22.5" customHeight="1">
      <c r="A1148" s="32" t="str">
        <f t="shared" si="1"/>
        <v>5/2026</v>
      </c>
      <c r="B1148" s="25">
        <v>46150.605665497686</v>
      </c>
      <c r="C1148" s="21" t="s">
        <v>4184</v>
      </c>
      <c r="D1148" s="21" t="s">
        <v>78</v>
      </c>
      <c r="E1148" s="26" t="s">
        <v>4185</v>
      </c>
      <c r="F1148" s="21" t="s">
        <v>18</v>
      </c>
      <c r="G1148" s="21" t="s">
        <v>3432</v>
      </c>
      <c r="H1148" s="21" t="s">
        <v>36</v>
      </c>
      <c r="I1148" s="21" t="s">
        <v>4186</v>
      </c>
      <c r="K1148" s="21">
        <v>1.39823030200144E14</v>
      </c>
      <c r="L1148" s="21">
        <v>5.0</v>
      </c>
      <c r="M1148" s="15"/>
      <c r="N1148" s="15"/>
      <c r="O1148" s="15"/>
    </row>
    <row r="1149" ht="22.5" customHeight="1">
      <c r="A1149" s="32" t="str">
        <f t="shared" si="1"/>
        <v>5/2026</v>
      </c>
      <c r="B1149" s="25">
        <v>46150.61522673611</v>
      </c>
      <c r="C1149" s="21" t="s">
        <v>239</v>
      </c>
      <c r="D1149" s="21" t="s">
        <v>524</v>
      </c>
      <c r="E1149" s="26" t="s">
        <v>4187</v>
      </c>
      <c r="F1149" s="21" t="s">
        <v>242</v>
      </c>
      <c r="G1149" s="21" t="s">
        <v>3339</v>
      </c>
      <c r="H1149" s="21" t="s">
        <v>36</v>
      </c>
      <c r="I1149" s="21" t="s">
        <v>4188</v>
      </c>
      <c r="K1149" s="21">
        <v>1.19823021300056E14</v>
      </c>
      <c r="M1149" s="15"/>
      <c r="N1149" s="15"/>
      <c r="O1149" s="15"/>
    </row>
    <row r="1150" ht="22.5" customHeight="1">
      <c r="A1150" s="32" t="str">
        <f t="shared" si="1"/>
        <v>5/2026</v>
      </c>
      <c r="B1150" s="25">
        <v>46150.62244515047</v>
      </c>
      <c r="C1150" s="21" t="s">
        <v>1181</v>
      </c>
      <c r="D1150" s="21" t="s">
        <v>4189</v>
      </c>
      <c r="E1150" s="26" t="s">
        <v>4190</v>
      </c>
      <c r="F1150" s="21" t="s">
        <v>18</v>
      </c>
      <c r="G1150" s="21" t="s">
        <v>3357</v>
      </c>
      <c r="H1150" s="21" t="s">
        <v>36</v>
      </c>
      <c r="I1150" s="21" t="s">
        <v>4191</v>
      </c>
      <c r="J1150" s="21" t="s">
        <v>417</v>
      </c>
      <c r="K1150" s="21" t="s">
        <v>55</v>
      </c>
      <c r="L1150" s="21">
        <v>10.0</v>
      </c>
      <c r="M1150" s="15"/>
      <c r="N1150" s="15"/>
      <c r="O1150" s="15"/>
    </row>
    <row r="1151" ht="22.5" customHeight="1">
      <c r="A1151" s="32" t="str">
        <f t="shared" si="1"/>
        <v>5/2026</v>
      </c>
      <c r="B1151" s="25">
        <v>46150.63569805556</v>
      </c>
      <c r="C1151" s="21" t="s">
        <v>710</v>
      </c>
      <c r="D1151" s="21" t="s">
        <v>595</v>
      </c>
      <c r="E1151" s="26" t="s">
        <v>4192</v>
      </c>
      <c r="F1151" s="21" t="s">
        <v>713</v>
      </c>
      <c r="G1151" s="21" t="s">
        <v>291</v>
      </c>
      <c r="H1151" s="21" t="s">
        <v>44</v>
      </c>
      <c r="I1151" s="21" t="s">
        <v>4193</v>
      </c>
      <c r="J1151" s="21" t="s">
        <v>4194</v>
      </c>
      <c r="K1151" s="21">
        <v>1.85826020700023E14</v>
      </c>
      <c r="L1151" s="21">
        <v>6.0</v>
      </c>
      <c r="M1151" s="15"/>
      <c r="N1151" s="15"/>
      <c r="O1151" s="15"/>
    </row>
    <row r="1152" ht="22.5" customHeight="1">
      <c r="A1152" s="32" t="str">
        <f t="shared" si="1"/>
        <v>5/2026</v>
      </c>
      <c r="B1152" s="25">
        <v>46150.71542641203</v>
      </c>
      <c r="C1152" s="21" t="s">
        <v>320</v>
      </c>
      <c r="D1152" s="21" t="s">
        <v>3876</v>
      </c>
      <c r="E1152" s="21">
        <v>9.15914681E8</v>
      </c>
      <c r="F1152" s="21" t="s">
        <v>118</v>
      </c>
      <c r="G1152" s="21" t="s">
        <v>3373</v>
      </c>
      <c r="H1152" s="21" t="s">
        <v>36</v>
      </c>
      <c r="I1152" s="21" t="s">
        <v>4195</v>
      </c>
      <c r="K1152" s="21">
        <v>1.39824102800525E14</v>
      </c>
      <c r="M1152" s="15"/>
      <c r="N1152" s="15"/>
      <c r="O1152" s="15"/>
    </row>
    <row r="1153" ht="22.5" customHeight="1">
      <c r="A1153" s="32" t="str">
        <f t="shared" si="1"/>
        <v>5/2026</v>
      </c>
      <c r="B1153" s="25">
        <v>46150.717370659724</v>
      </c>
      <c r="C1153" s="21" t="s">
        <v>320</v>
      </c>
      <c r="D1153" s="21" t="s">
        <v>4196</v>
      </c>
      <c r="E1153" s="26" t="s">
        <v>4197</v>
      </c>
      <c r="F1153" s="21" t="s">
        <v>812</v>
      </c>
      <c r="G1153" s="21" t="s">
        <v>3357</v>
      </c>
      <c r="H1153" s="21" t="s">
        <v>36</v>
      </c>
      <c r="I1153" s="21" t="s">
        <v>4198</v>
      </c>
      <c r="K1153" s="21">
        <v>1.19824092800268E14</v>
      </c>
      <c r="M1153" s="15"/>
      <c r="N1153" s="15"/>
      <c r="O1153" s="15"/>
    </row>
    <row r="1154" ht="22.5" customHeight="1">
      <c r="A1154" s="32" t="str">
        <f t="shared" si="1"/>
        <v>5/2026</v>
      </c>
      <c r="B1154" s="25">
        <v>46150.74641840278</v>
      </c>
      <c r="C1154" s="21" t="s">
        <v>115</v>
      </c>
      <c r="D1154" s="21" t="s">
        <v>4199</v>
      </c>
      <c r="E1154" s="26" t="s">
        <v>3348</v>
      </c>
      <c r="F1154" s="21" t="s">
        <v>3349</v>
      </c>
      <c r="G1154" s="21" t="s">
        <v>4200</v>
      </c>
      <c r="H1154" s="21" t="s">
        <v>141</v>
      </c>
      <c r="I1154" s="21" t="s">
        <v>4201</v>
      </c>
      <c r="J1154" s="21" t="s">
        <v>4202</v>
      </c>
      <c r="K1154" s="21" t="s">
        <v>122</v>
      </c>
      <c r="M1154" s="15"/>
      <c r="N1154" s="15"/>
      <c r="O1154" s="15"/>
    </row>
    <row r="1155" ht="22.5" customHeight="1">
      <c r="A1155" s="32" t="str">
        <f t="shared" si="1"/>
        <v>5/2026</v>
      </c>
      <c r="B1155" s="25">
        <v>46150.74936905093</v>
      </c>
      <c r="C1155" s="21" t="s">
        <v>115</v>
      </c>
      <c r="D1155" s="21" t="s">
        <v>3111</v>
      </c>
      <c r="E1155" s="21" t="s">
        <v>1270</v>
      </c>
      <c r="F1155" s="21" t="s">
        <v>118</v>
      </c>
      <c r="G1155" s="21" t="s">
        <v>3672</v>
      </c>
      <c r="H1155" s="21" t="s">
        <v>141</v>
      </c>
      <c r="I1155" s="21" t="s">
        <v>4203</v>
      </c>
      <c r="J1155" s="21" t="s">
        <v>2610</v>
      </c>
      <c r="K1155" s="21" t="s">
        <v>122</v>
      </c>
      <c r="M1155" s="15"/>
      <c r="N1155" s="15"/>
      <c r="O1155" s="15"/>
    </row>
    <row r="1156" ht="22.5" customHeight="1">
      <c r="A1156" s="32" t="str">
        <f t="shared" si="1"/>
        <v>5/2026</v>
      </c>
      <c r="B1156" s="25">
        <v>46150.75112079861</v>
      </c>
      <c r="C1156" s="21" t="s">
        <v>1537</v>
      </c>
      <c r="D1156" s="21" t="s">
        <v>4204</v>
      </c>
      <c r="E1156" s="26" t="s">
        <v>2980</v>
      </c>
      <c r="F1156" s="21" t="s">
        <v>1540</v>
      </c>
      <c r="G1156" s="21" t="s">
        <v>291</v>
      </c>
      <c r="H1156" s="21" t="s">
        <v>721</v>
      </c>
      <c r="I1156" s="21" t="s">
        <v>4205</v>
      </c>
      <c r="J1156" s="21" t="s">
        <v>4206</v>
      </c>
      <c r="K1156" s="21">
        <v>1.85825082200078E14</v>
      </c>
      <c r="L1156" s="21">
        <v>8.0</v>
      </c>
      <c r="M1156" s="15"/>
      <c r="N1156" s="15"/>
      <c r="O1156" s="15"/>
    </row>
    <row r="1157" ht="22.5" customHeight="1">
      <c r="A1157" s="32" t="str">
        <f t="shared" si="1"/>
        <v>5/2026</v>
      </c>
      <c r="B1157" s="25">
        <v>46150.759744166666</v>
      </c>
      <c r="C1157" s="21" t="s">
        <v>214</v>
      </c>
      <c r="D1157" s="21" t="s">
        <v>4207</v>
      </c>
      <c r="E1157" s="26" t="s">
        <v>4208</v>
      </c>
      <c r="F1157" s="21" t="s">
        <v>18</v>
      </c>
      <c r="G1157" s="21" t="s">
        <v>4209</v>
      </c>
      <c r="H1157" s="21" t="s">
        <v>36</v>
      </c>
      <c r="I1157" s="21" t="s">
        <v>4210</v>
      </c>
      <c r="K1157" s="21" t="s">
        <v>4211</v>
      </c>
      <c r="M1157" s="15"/>
      <c r="N1157" s="15"/>
      <c r="O1157" s="15"/>
    </row>
    <row r="1158" ht="22.5" customHeight="1">
      <c r="A1158" s="32" t="str">
        <f t="shared" si="1"/>
        <v>5/2026</v>
      </c>
      <c r="B1158" s="25">
        <v>46150.76142037037</v>
      </c>
      <c r="C1158" s="21" t="s">
        <v>214</v>
      </c>
      <c r="D1158" s="21" t="s">
        <v>665</v>
      </c>
      <c r="E1158" s="26" t="s">
        <v>4212</v>
      </c>
      <c r="F1158" s="21" t="s">
        <v>18</v>
      </c>
      <c r="G1158" s="21" t="s">
        <v>3373</v>
      </c>
      <c r="H1158" s="21" t="s">
        <v>36</v>
      </c>
      <c r="I1158" s="21" t="s">
        <v>4213</v>
      </c>
      <c r="K1158" s="21">
        <v>1.39825030500056E14</v>
      </c>
      <c r="M1158" s="15"/>
      <c r="N1158" s="15"/>
      <c r="O1158" s="15"/>
    </row>
    <row r="1159" ht="22.5" customHeight="1">
      <c r="A1159" s="32" t="str">
        <f t="shared" si="1"/>
        <v>5/2026</v>
      </c>
      <c r="B1159" s="25">
        <v>46150.80248909722</v>
      </c>
      <c r="C1159" s="21" t="s">
        <v>4184</v>
      </c>
      <c r="D1159" s="21" t="s">
        <v>4214</v>
      </c>
      <c r="E1159" s="26" t="s">
        <v>4215</v>
      </c>
      <c r="F1159" s="21" t="s">
        <v>18</v>
      </c>
      <c r="G1159" s="21" t="s">
        <v>3350</v>
      </c>
      <c r="H1159" s="21" t="s">
        <v>36</v>
      </c>
      <c r="I1159" s="21" t="s">
        <v>4216</v>
      </c>
      <c r="K1159" s="21">
        <v>8.92821080500406E14</v>
      </c>
      <c r="L1159" s="21">
        <v>15.0</v>
      </c>
      <c r="M1159" s="15"/>
      <c r="N1159" s="15"/>
      <c r="O1159" s="15"/>
    </row>
    <row r="1160" ht="22.5" customHeight="1">
      <c r="A1160" s="32" t="str">
        <f t="shared" si="1"/>
        <v>5/2026</v>
      </c>
      <c r="B1160" s="25">
        <v>46150.839513125</v>
      </c>
      <c r="C1160" s="21" t="s">
        <v>618</v>
      </c>
      <c r="D1160" s="21" t="s">
        <v>4217</v>
      </c>
      <c r="E1160" s="26" t="s">
        <v>4218</v>
      </c>
      <c r="F1160" s="21" t="s">
        <v>118</v>
      </c>
      <c r="G1160" s="21" t="s">
        <v>4219</v>
      </c>
      <c r="H1160" s="21" t="s">
        <v>36</v>
      </c>
      <c r="I1160" s="21" t="s">
        <v>4220</v>
      </c>
      <c r="K1160" s="21">
        <v>1.39822120800238E14</v>
      </c>
      <c r="M1160" s="15"/>
      <c r="N1160" s="15"/>
      <c r="O1160" s="15"/>
    </row>
    <row r="1161" ht="22.5" customHeight="1">
      <c r="A1161" s="32" t="str">
        <f t="shared" si="1"/>
        <v>5/2026</v>
      </c>
      <c r="B1161" s="25">
        <v>46151.41620175926</v>
      </c>
      <c r="C1161" s="21" t="s">
        <v>132</v>
      </c>
      <c r="D1161" s="21" t="s">
        <v>4062</v>
      </c>
      <c r="E1161" s="26" t="s">
        <v>4063</v>
      </c>
      <c r="F1161" s="21" t="s">
        <v>18</v>
      </c>
      <c r="G1161" s="21" t="s">
        <v>3350</v>
      </c>
      <c r="H1161" s="21" t="s">
        <v>36</v>
      </c>
      <c r="I1161" s="21" t="s">
        <v>4221</v>
      </c>
      <c r="J1161" s="21" t="s">
        <v>2079</v>
      </c>
      <c r="K1161" s="21">
        <v>1.19824092800229E14</v>
      </c>
      <c r="M1161" s="15"/>
      <c r="N1161" s="15"/>
      <c r="O1161" s="15"/>
    </row>
    <row r="1162" ht="22.5" customHeight="1">
      <c r="A1162" s="32" t="str">
        <f t="shared" si="1"/>
        <v>5/2026</v>
      </c>
      <c r="B1162" s="25">
        <v>46151.42086996528</v>
      </c>
      <c r="C1162" s="21" t="s">
        <v>132</v>
      </c>
      <c r="D1162" s="21" t="s">
        <v>4222</v>
      </c>
      <c r="E1162" s="26" t="s">
        <v>4223</v>
      </c>
      <c r="F1162" s="21" t="s">
        <v>18</v>
      </c>
      <c r="G1162" s="21" t="s">
        <v>3350</v>
      </c>
      <c r="H1162" s="21" t="s">
        <v>36</v>
      </c>
      <c r="I1162" s="21" t="s">
        <v>4224</v>
      </c>
      <c r="J1162" s="21" t="s">
        <v>2079</v>
      </c>
      <c r="K1162" s="21">
        <v>8.92824103000046E14</v>
      </c>
      <c r="M1162" s="15"/>
      <c r="N1162" s="15"/>
      <c r="O1162" s="15"/>
    </row>
    <row r="1163" ht="22.5" customHeight="1">
      <c r="A1163" s="32" t="str">
        <f t="shared" si="1"/>
        <v>5/2026</v>
      </c>
      <c r="B1163" s="25">
        <v>46151.42353108796</v>
      </c>
      <c r="C1163" s="21" t="s">
        <v>132</v>
      </c>
      <c r="D1163" s="21" t="s">
        <v>4225</v>
      </c>
      <c r="E1163" s="26" t="s">
        <v>4226</v>
      </c>
      <c r="F1163" s="21" t="s">
        <v>18</v>
      </c>
      <c r="G1163" s="21" t="s">
        <v>3701</v>
      </c>
      <c r="H1163" s="21" t="s">
        <v>20</v>
      </c>
      <c r="I1163" s="21" t="s">
        <v>4227</v>
      </c>
      <c r="J1163" s="21" t="s">
        <v>1069</v>
      </c>
      <c r="K1163" s="21">
        <v>1.85826020700012E14</v>
      </c>
      <c r="M1163" s="15"/>
      <c r="N1163" s="15"/>
      <c r="O1163" s="15"/>
    </row>
    <row r="1164" ht="22.5" customHeight="1">
      <c r="A1164" s="32" t="str">
        <f t="shared" si="1"/>
        <v>5/2026</v>
      </c>
      <c r="B1164" s="25">
        <v>46151.42659263889</v>
      </c>
      <c r="C1164" s="21" t="s">
        <v>132</v>
      </c>
      <c r="D1164" s="21" t="s">
        <v>4228</v>
      </c>
      <c r="E1164" s="26" t="s">
        <v>4229</v>
      </c>
      <c r="F1164" s="21" t="s">
        <v>18</v>
      </c>
      <c r="G1164" s="21" t="s">
        <v>4230</v>
      </c>
      <c r="H1164" s="21" t="s">
        <v>36</v>
      </c>
      <c r="I1164" s="21" t="s">
        <v>4231</v>
      </c>
      <c r="J1164" s="21" t="s">
        <v>1069</v>
      </c>
      <c r="K1164" s="21">
        <v>8.92821042900546E14</v>
      </c>
      <c r="M1164" s="15"/>
      <c r="N1164" s="15"/>
      <c r="O1164" s="15"/>
    </row>
    <row r="1165" ht="22.5" customHeight="1">
      <c r="A1165" s="32" t="str">
        <f t="shared" si="1"/>
        <v>5/2026</v>
      </c>
      <c r="B1165" s="25">
        <v>46151.43306113426</v>
      </c>
      <c r="C1165" s="21" t="s">
        <v>132</v>
      </c>
      <c r="D1165" s="21" t="s">
        <v>4232</v>
      </c>
      <c r="E1165" s="26" t="s">
        <v>4233</v>
      </c>
      <c r="F1165" s="21" t="s">
        <v>18</v>
      </c>
      <c r="G1165" s="21" t="s">
        <v>4234</v>
      </c>
      <c r="H1165" s="21" t="s">
        <v>44</v>
      </c>
      <c r="I1165" s="21" t="s">
        <v>4235</v>
      </c>
      <c r="K1165" s="21">
        <v>1.84825082100004E14</v>
      </c>
      <c r="M1165" s="15"/>
      <c r="N1165" s="15"/>
      <c r="O1165" s="15"/>
    </row>
    <row r="1166" ht="22.5" customHeight="1">
      <c r="A1166" s="32" t="str">
        <f t="shared" si="1"/>
        <v>5/2026</v>
      </c>
      <c r="B1166" s="25">
        <v>46151.43509103009</v>
      </c>
      <c r="C1166" s="21" t="s">
        <v>132</v>
      </c>
      <c r="D1166" s="21" t="s">
        <v>4236</v>
      </c>
      <c r="E1166" s="26" t="s">
        <v>4237</v>
      </c>
      <c r="F1166" s="21" t="s">
        <v>18</v>
      </c>
      <c r="G1166" s="21" t="s">
        <v>3432</v>
      </c>
      <c r="H1166" s="21" t="s">
        <v>36</v>
      </c>
      <c r="I1166" s="21" t="s">
        <v>4238</v>
      </c>
      <c r="J1166" s="21" t="s">
        <v>2079</v>
      </c>
      <c r="K1166" s="21">
        <v>1.39824102800045E14</v>
      </c>
      <c r="M1166" s="15"/>
      <c r="N1166" s="15"/>
      <c r="O1166" s="15"/>
    </row>
    <row r="1167" ht="22.5" customHeight="1">
      <c r="A1167" s="32" t="str">
        <f t="shared" si="1"/>
        <v>5/2026</v>
      </c>
      <c r="B1167" s="25">
        <v>46151.44016142361</v>
      </c>
      <c r="C1167" s="21" t="s">
        <v>132</v>
      </c>
      <c r="D1167" s="21" t="s">
        <v>4239</v>
      </c>
      <c r="E1167" s="26" t="s">
        <v>4240</v>
      </c>
      <c r="F1167" s="21" t="s">
        <v>18</v>
      </c>
      <c r="G1167" s="21" t="s">
        <v>3350</v>
      </c>
      <c r="H1167" s="21" t="s">
        <v>36</v>
      </c>
      <c r="I1167" s="21" t="s">
        <v>4241</v>
      </c>
      <c r="J1167" s="21" t="s">
        <v>2079</v>
      </c>
      <c r="K1167" s="21">
        <v>1.1982409280016E14</v>
      </c>
      <c r="M1167" s="15"/>
      <c r="N1167" s="15"/>
      <c r="O1167" s="15"/>
    </row>
    <row r="1168" ht="22.5" customHeight="1">
      <c r="A1168" s="32" t="str">
        <f t="shared" si="1"/>
        <v>5/2026</v>
      </c>
      <c r="B1168" s="25">
        <v>46151.442662291665</v>
      </c>
      <c r="C1168" s="21" t="s">
        <v>132</v>
      </c>
      <c r="D1168" s="21" t="s">
        <v>4242</v>
      </c>
      <c r="E1168" s="26" t="s">
        <v>4243</v>
      </c>
      <c r="F1168" s="21" t="s">
        <v>18</v>
      </c>
      <c r="G1168" s="21" t="s">
        <v>291</v>
      </c>
      <c r="H1168" s="21" t="s">
        <v>44</v>
      </c>
      <c r="I1168" s="21" t="s">
        <v>4244</v>
      </c>
      <c r="K1168" s="21" t="s">
        <v>4245</v>
      </c>
      <c r="M1168" s="15"/>
      <c r="N1168" s="15"/>
      <c r="O1168" s="15"/>
    </row>
    <row r="1169" ht="22.5" customHeight="1">
      <c r="A1169" s="32" t="str">
        <f t="shared" si="1"/>
        <v>5/2026</v>
      </c>
      <c r="B1169" s="25">
        <v>46151.445863796296</v>
      </c>
      <c r="C1169" s="21" t="s">
        <v>132</v>
      </c>
      <c r="D1169" s="21" t="s">
        <v>4246</v>
      </c>
      <c r="E1169" s="26" t="s">
        <v>4247</v>
      </c>
      <c r="F1169" s="21" t="s">
        <v>18</v>
      </c>
      <c r="G1169" s="21" t="s">
        <v>3350</v>
      </c>
      <c r="H1169" s="21" t="s">
        <v>36</v>
      </c>
      <c r="I1169" s="21" t="s">
        <v>4248</v>
      </c>
      <c r="J1169" s="21" t="s">
        <v>2079</v>
      </c>
      <c r="K1169" s="21">
        <v>1.19824092800235E14</v>
      </c>
      <c r="M1169" s="15"/>
      <c r="N1169" s="15"/>
      <c r="O1169" s="15"/>
    </row>
    <row r="1170" ht="22.5" customHeight="1">
      <c r="A1170" s="32" t="str">
        <f t="shared" si="1"/>
        <v>5/2026</v>
      </c>
      <c r="B1170" s="25">
        <v>46151.450765925925</v>
      </c>
      <c r="C1170" s="21" t="s">
        <v>132</v>
      </c>
      <c r="D1170" s="21" t="s">
        <v>4249</v>
      </c>
      <c r="E1170" s="26" t="s">
        <v>4250</v>
      </c>
      <c r="F1170" s="21" t="s">
        <v>18</v>
      </c>
      <c r="G1170" s="21" t="s">
        <v>3399</v>
      </c>
      <c r="H1170" s="21" t="s">
        <v>20</v>
      </c>
      <c r="I1170" s="21" t="s">
        <v>4251</v>
      </c>
      <c r="J1170" s="21" t="s">
        <v>4252</v>
      </c>
      <c r="K1170" s="21">
        <v>1.83825082100104E14</v>
      </c>
      <c r="M1170" s="15"/>
      <c r="N1170" s="15"/>
      <c r="O1170" s="15"/>
    </row>
    <row r="1171" ht="22.5" customHeight="1">
      <c r="A1171" s="32" t="str">
        <f t="shared" si="1"/>
        <v>5/2026</v>
      </c>
      <c r="B1171" s="25">
        <v>46151.45453225695</v>
      </c>
      <c r="C1171" s="21" t="s">
        <v>132</v>
      </c>
      <c r="D1171" s="21" t="s">
        <v>1625</v>
      </c>
      <c r="E1171" s="26" t="s">
        <v>4253</v>
      </c>
      <c r="F1171" s="21" t="s">
        <v>18</v>
      </c>
      <c r="G1171" s="21" t="s">
        <v>291</v>
      </c>
      <c r="H1171" s="21" t="s">
        <v>20</v>
      </c>
      <c r="I1171" s="21" t="s">
        <v>4254</v>
      </c>
      <c r="J1171" s="21" t="s">
        <v>1069</v>
      </c>
      <c r="K1171" s="21">
        <v>1.8582602070006E14</v>
      </c>
      <c r="M1171" s="15"/>
      <c r="N1171" s="15"/>
      <c r="O1171" s="15"/>
    </row>
    <row r="1172" ht="22.5" customHeight="1">
      <c r="A1172" s="32" t="str">
        <f t="shared" si="1"/>
        <v>5/2026</v>
      </c>
      <c r="B1172" s="25">
        <v>46151.458660358796</v>
      </c>
      <c r="C1172" s="21" t="s">
        <v>132</v>
      </c>
      <c r="D1172" s="21" t="s">
        <v>2580</v>
      </c>
      <c r="E1172" s="26" t="s">
        <v>4255</v>
      </c>
      <c r="F1172" s="21" t="s">
        <v>18</v>
      </c>
      <c r="G1172" s="21" t="s">
        <v>3350</v>
      </c>
      <c r="H1172" s="21" t="s">
        <v>36</v>
      </c>
      <c r="I1172" s="21" t="s">
        <v>4256</v>
      </c>
      <c r="J1172" s="21" t="s">
        <v>1069</v>
      </c>
      <c r="K1172" s="21">
        <v>1.19823091200156E14</v>
      </c>
      <c r="M1172" s="15"/>
      <c r="N1172" s="15"/>
      <c r="O1172" s="15"/>
    </row>
    <row r="1173" ht="22.5" customHeight="1">
      <c r="A1173" s="32" t="str">
        <f t="shared" si="1"/>
        <v>5/2026</v>
      </c>
      <c r="B1173" s="25">
        <v>46151.52572355324</v>
      </c>
      <c r="C1173" s="21" t="s">
        <v>4184</v>
      </c>
      <c r="D1173" s="21" t="s">
        <v>4257</v>
      </c>
      <c r="E1173" s="26" t="s">
        <v>4258</v>
      </c>
      <c r="F1173" s="21" t="s">
        <v>18</v>
      </c>
      <c r="G1173" s="21" t="s">
        <v>3357</v>
      </c>
      <c r="H1173" s="21" t="s">
        <v>36</v>
      </c>
      <c r="I1173" s="21" t="s">
        <v>4259</v>
      </c>
      <c r="K1173" s="21">
        <v>8.92821080500101E14</v>
      </c>
      <c r="L1173" s="21">
        <v>22.0</v>
      </c>
      <c r="M1173" s="15"/>
      <c r="N1173" s="15"/>
      <c r="O1173" s="15"/>
    </row>
    <row r="1174" ht="22.5" customHeight="1">
      <c r="A1174" s="32" t="str">
        <f t="shared" si="1"/>
        <v>5/2026</v>
      </c>
      <c r="B1174" s="25">
        <v>46151.57705649306</v>
      </c>
      <c r="C1174" s="21" t="s">
        <v>132</v>
      </c>
      <c r="D1174" s="21" t="s">
        <v>4260</v>
      </c>
      <c r="E1174" s="26" t="s">
        <v>4261</v>
      </c>
      <c r="F1174" s="21" t="s">
        <v>18</v>
      </c>
      <c r="G1174" s="21" t="s">
        <v>3432</v>
      </c>
      <c r="H1174" s="21" t="s">
        <v>36</v>
      </c>
      <c r="I1174" s="21" t="s">
        <v>4262</v>
      </c>
      <c r="J1174" s="21" t="s">
        <v>1069</v>
      </c>
      <c r="K1174" s="21">
        <v>1.39825030500463E14</v>
      </c>
      <c r="M1174" s="15"/>
      <c r="N1174" s="15"/>
      <c r="O1174" s="15"/>
    </row>
    <row r="1175" ht="22.5" customHeight="1">
      <c r="A1175" s="32" t="str">
        <f t="shared" si="1"/>
        <v>5/2026</v>
      </c>
      <c r="B1175" s="25">
        <v>46151.646785439814</v>
      </c>
      <c r="C1175" s="21" t="s">
        <v>132</v>
      </c>
      <c r="D1175" s="21" t="s">
        <v>4263</v>
      </c>
      <c r="E1175" s="26" t="s">
        <v>4264</v>
      </c>
      <c r="F1175" s="21" t="s">
        <v>18</v>
      </c>
      <c r="G1175" s="21" t="s">
        <v>291</v>
      </c>
      <c r="H1175" s="21" t="s">
        <v>20</v>
      </c>
      <c r="I1175" s="21" t="s">
        <v>4265</v>
      </c>
      <c r="K1175" s="21">
        <v>1.85826020700087E14</v>
      </c>
      <c r="M1175" s="15"/>
      <c r="N1175" s="15"/>
      <c r="O1175" s="15"/>
    </row>
    <row r="1176" ht="22.5" customHeight="1">
      <c r="A1176" s="32" t="str">
        <f t="shared" si="1"/>
        <v>5/2026</v>
      </c>
      <c r="B1176" s="25">
        <v>46151.65869872685</v>
      </c>
      <c r="C1176" s="21" t="s">
        <v>3186</v>
      </c>
      <c r="D1176" s="21" t="s">
        <v>4266</v>
      </c>
      <c r="E1176" s="26" t="s">
        <v>3821</v>
      </c>
      <c r="F1176" s="21" t="s">
        <v>18</v>
      </c>
      <c r="G1176" s="21" t="s">
        <v>291</v>
      </c>
      <c r="H1176" s="21" t="s">
        <v>2594</v>
      </c>
      <c r="I1176" s="21" t="s">
        <v>4267</v>
      </c>
      <c r="J1176" s="21" t="s">
        <v>4268</v>
      </c>
      <c r="K1176" s="21">
        <v>1.85826020700083E14</v>
      </c>
      <c r="M1176" s="15"/>
      <c r="N1176" s="15"/>
      <c r="O1176" s="15"/>
    </row>
    <row r="1177" ht="22.5" customHeight="1">
      <c r="A1177" s="32" t="str">
        <f t="shared" si="1"/>
        <v>5/2026</v>
      </c>
      <c r="B1177" s="25">
        <v>46151.74223351852</v>
      </c>
      <c r="C1177" s="21" t="s">
        <v>115</v>
      </c>
      <c r="D1177" s="21" t="s">
        <v>4269</v>
      </c>
      <c r="E1177" s="26" t="s">
        <v>4270</v>
      </c>
      <c r="F1177" s="21" t="s">
        <v>118</v>
      </c>
      <c r="G1177" s="21" t="s">
        <v>3812</v>
      </c>
      <c r="H1177" s="21" t="s">
        <v>36</v>
      </c>
      <c r="I1177" s="21" t="s">
        <v>4271</v>
      </c>
      <c r="J1177" s="21" t="s">
        <v>965</v>
      </c>
      <c r="K1177" s="21">
        <v>8.928210123001E14</v>
      </c>
      <c r="M1177" s="15"/>
      <c r="N1177" s="15"/>
      <c r="O1177" s="15"/>
    </row>
    <row r="1178" ht="22.5" customHeight="1">
      <c r="A1178" s="32" t="str">
        <f t="shared" si="1"/>
        <v>5/2026</v>
      </c>
      <c r="B1178" s="25">
        <v>46151.743897939814</v>
      </c>
      <c r="C1178" s="21" t="s">
        <v>115</v>
      </c>
      <c r="D1178" s="21" t="s">
        <v>2860</v>
      </c>
      <c r="E1178" s="26" t="s">
        <v>4272</v>
      </c>
      <c r="F1178" s="21" t="s">
        <v>118</v>
      </c>
      <c r="G1178" s="21" t="s">
        <v>3501</v>
      </c>
      <c r="H1178" s="21" t="s">
        <v>36</v>
      </c>
      <c r="I1178" s="21" t="s">
        <v>4273</v>
      </c>
      <c r="J1178" s="21" t="s">
        <v>965</v>
      </c>
      <c r="K1178" s="21">
        <v>1.39822121600038E14</v>
      </c>
      <c r="M1178" s="15"/>
      <c r="N1178" s="15"/>
      <c r="O1178" s="15"/>
    </row>
    <row r="1179" ht="22.5" customHeight="1">
      <c r="A1179" s="32" t="str">
        <f t="shared" si="1"/>
        <v>5/2026</v>
      </c>
      <c r="B1179" s="25">
        <v>46151.745541909724</v>
      </c>
      <c r="C1179" s="21" t="s">
        <v>115</v>
      </c>
      <c r="D1179" s="21" t="s">
        <v>4274</v>
      </c>
      <c r="E1179" s="26" t="s">
        <v>4275</v>
      </c>
      <c r="F1179" s="21" t="s">
        <v>118</v>
      </c>
      <c r="G1179" s="21" t="s">
        <v>3373</v>
      </c>
      <c r="H1179" s="21" t="s">
        <v>36</v>
      </c>
      <c r="I1179" s="21" t="s">
        <v>4276</v>
      </c>
      <c r="J1179" s="21" t="s">
        <v>965</v>
      </c>
      <c r="K1179" s="21">
        <v>1.39824092700749E14</v>
      </c>
      <c r="L1179" s="21">
        <v>19.0</v>
      </c>
      <c r="M1179" s="15"/>
      <c r="N1179" s="15"/>
      <c r="O1179" s="15"/>
    </row>
    <row r="1180" ht="22.5" customHeight="1">
      <c r="A1180" s="32" t="str">
        <f t="shared" si="1"/>
        <v>5/2026</v>
      </c>
      <c r="B1180" s="25">
        <v>46151.797583935186</v>
      </c>
      <c r="C1180" s="21" t="s">
        <v>4184</v>
      </c>
      <c r="D1180" s="21" t="s">
        <v>4277</v>
      </c>
      <c r="E1180" s="26" t="s">
        <v>4278</v>
      </c>
      <c r="F1180" s="21" t="s">
        <v>18</v>
      </c>
      <c r="G1180" s="21" t="s">
        <v>3357</v>
      </c>
      <c r="H1180" s="21" t="s">
        <v>36</v>
      </c>
      <c r="I1180" s="21" t="s">
        <v>4279</v>
      </c>
      <c r="K1180" s="21">
        <v>1.19824110100186E14</v>
      </c>
      <c r="L1180" s="21">
        <v>28.0</v>
      </c>
      <c r="M1180" s="15"/>
      <c r="N1180" s="15"/>
      <c r="O1180" s="15"/>
    </row>
    <row r="1181" ht="22.5" customHeight="1">
      <c r="A1181" s="32" t="str">
        <f t="shared" si="1"/>
        <v>5/2026</v>
      </c>
      <c r="B1181" s="25">
        <v>46151.975127337966</v>
      </c>
      <c r="C1181" s="21" t="s">
        <v>77</v>
      </c>
      <c r="D1181" s="21" t="s">
        <v>4280</v>
      </c>
      <c r="E1181" s="26" t="s">
        <v>4281</v>
      </c>
      <c r="F1181" s="21" t="s">
        <v>64</v>
      </c>
      <c r="G1181" s="21" t="s">
        <v>3357</v>
      </c>
      <c r="H1181" s="21" t="s">
        <v>36</v>
      </c>
      <c r="I1181" s="21" t="s">
        <v>4282</v>
      </c>
      <c r="J1181" s="21" t="s">
        <v>3076</v>
      </c>
      <c r="K1181" s="21">
        <v>1.19823091200188E14</v>
      </c>
      <c r="L1181" s="21">
        <v>38.0</v>
      </c>
      <c r="M1181" s="15"/>
      <c r="N1181" s="15"/>
      <c r="O1181" s="15"/>
    </row>
    <row r="1182" ht="22.5" customHeight="1">
      <c r="A1182" s="32" t="str">
        <f t="shared" si="1"/>
        <v>5/2026</v>
      </c>
      <c r="B1182" s="25">
        <v>46152.41603</v>
      </c>
      <c r="C1182" s="21" t="s">
        <v>4283</v>
      </c>
      <c r="D1182" s="21" t="s">
        <v>4284</v>
      </c>
      <c r="E1182" s="26" t="s">
        <v>4285</v>
      </c>
      <c r="F1182" s="21" t="s">
        <v>118</v>
      </c>
      <c r="G1182" s="21" t="s">
        <v>3469</v>
      </c>
      <c r="H1182" s="21" t="s">
        <v>44</v>
      </c>
      <c r="I1182" s="30" t="s">
        <v>4286</v>
      </c>
      <c r="K1182" s="21">
        <v>1.8682508210001E14</v>
      </c>
      <c r="L1182" s="21">
        <v>16.0</v>
      </c>
      <c r="M1182" s="15"/>
      <c r="N1182" s="15"/>
      <c r="O1182" s="15"/>
    </row>
    <row r="1183" ht="22.5" customHeight="1">
      <c r="A1183" s="32" t="str">
        <f t="shared" si="1"/>
        <v>5/2026</v>
      </c>
      <c r="B1183" s="25">
        <v>46152.48048513889</v>
      </c>
      <c r="C1183" s="21" t="s">
        <v>132</v>
      </c>
      <c r="D1183" s="21" t="s">
        <v>4287</v>
      </c>
      <c r="E1183" s="26" t="s">
        <v>4288</v>
      </c>
      <c r="F1183" s="21" t="s">
        <v>18</v>
      </c>
      <c r="G1183" s="21" t="s">
        <v>3451</v>
      </c>
      <c r="H1183" s="21" t="s">
        <v>44</v>
      </c>
      <c r="I1183" s="21" t="s">
        <v>4289</v>
      </c>
      <c r="K1183" s="21">
        <v>1.84825082100269E14</v>
      </c>
      <c r="M1183" s="15"/>
      <c r="N1183" s="15"/>
      <c r="O1183" s="15"/>
    </row>
    <row r="1184" ht="22.5" customHeight="1">
      <c r="A1184" s="32" t="str">
        <f t="shared" si="1"/>
        <v>5/2026</v>
      </c>
      <c r="B1184" s="25">
        <v>46152.813412222225</v>
      </c>
      <c r="C1184" s="21" t="s">
        <v>115</v>
      </c>
      <c r="D1184" s="21" t="s">
        <v>4290</v>
      </c>
      <c r="E1184" s="26" t="s">
        <v>4291</v>
      </c>
      <c r="F1184" s="21" t="s">
        <v>118</v>
      </c>
      <c r="G1184" s="21" t="s">
        <v>3357</v>
      </c>
      <c r="H1184" s="21" t="s">
        <v>36</v>
      </c>
      <c r="I1184" s="21" t="s">
        <v>4292</v>
      </c>
      <c r="J1184" s="21" t="s">
        <v>965</v>
      </c>
      <c r="K1184" s="21">
        <v>1.1982409280029E14</v>
      </c>
      <c r="L1184" s="21">
        <v>19.0</v>
      </c>
      <c r="M1184" s="15"/>
      <c r="N1184" s="15"/>
      <c r="O1184" s="15"/>
    </row>
    <row r="1185" ht="22.5" customHeight="1">
      <c r="A1185" s="32" t="str">
        <f t="shared" si="1"/>
        <v>5/2026</v>
      </c>
      <c r="B1185" s="25">
        <v>46152.87389524306</v>
      </c>
      <c r="C1185" s="21" t="s">
        <v>56</v>
      </c>
      <c r="D1185" s="21" t="s">
        <v>4293</v>
      </c>
      <c r="E1185" s="26" t="s">
        <v>4294</v>
      </c>
      <c r="F1185" s="21" t="s">
        <v>18</v>
      </c>
      <c r="G1185" s="21" t="s">
        <v>3357</v>
      </c>
      <c r="H1185" s="21" t="s">
        <v>36</v>
      </c>
      <c r="I1185" s="21" t="s">
        <v>4295</v>
      </c>
      <c r="K1185" s="21">
        <v>1.19824092800317E14</v>
      </c>
      <c r="M1185" s="15"/>
      <c r="N1185" s="15"/>
      <c r="O1185" s="15"/>
    </row>
    <row r="1186" ht="22.5" customHeight="1">
      <c r="A1186" s="32" t="str">
        <f t="shared" si="1"/>
        <v>5/2026</v>
      </c>
      <c r="B1186" s="25">
        <v>46152.875027789356</v>
      </c>
      <c r="C1186" s="21" t="s">
        <v>56</v>
      </c>
      <c r="D1186" s="21" t="s">
        <v>4296</v>
      </c>
      <c r="E1186" s="26" t="s">
        <v>4297</v>
      </c>
      <c r="F1186" s="21" t="s">
        <v>18</v>
      </c>
      <c r="G1186" s="21" t="s">
        <v>3451</v>
      </c>
      <c r="H1186" s="21" t="s">
        <v>44</v>
      </c>
      <c r="I1186" s="21" t="s">
        <v>4298</v>
      </c>
      <c r="K1186" s="21">
        <v>1.84825082100249E14</v>
      </c>
      <c r="M1186" s="15"/>
      <c r="N1186" s="15"/>
      <c r="O1186" s="15"/>
    </row>
    <row r="1187" ht="22.5" customHeight="1">
      <c r="A1187" s="32" t="str">
        <f t="shared" si="1"/>
        <v>5/2026</v>
      </c>
      <c r="B1187" s="25">
        <v>46153.37172783565</v>
      </c>
      <c r="C1187" s="21" t="s">
        <v>1181</v>
      </c>
      <c r="D1187" s="21" t="s">
        <v>3824</v>
      </c>
      <c r="E1187" s="26" t="s">
        <v>4299</v>
      </c>
      <c r="F1187" s="21" t="s">
        <v>18</v>
      </c>
      <c r="G1187" s="21" t="s">
        <v>3357</v>
      </c>
      <c r="H1187" s="21" t="s">
        <v>141</v>
      </c>
      <c r="I1187" s="21" t="s">
        <v>4300</v>
      </c>
      <c r="J1187" s="21" t="s">
        <v>4301</v>
      </c>
      <c r="K1187" s="21" t="s">
        <v>55</v>
      </c>
      <c r="L1187" s="21">
        <v>30.0</v>
      </c>
      <c r="M1187" s="15"/>
      <c r="N1187" s="15"/>
      <c r="O1187" s="15"/>
    </row>
    <row r="1188" ht="22.5" customHeight="1">
      <c r="A1188" s="32" t="str">
        <f t="shared" si="1"/>
        <v>5/2026</v>
      </c>
      <c r="B1188" s="25">
        <v>46153.598875717595</v>
      </c>
      <c r="C1188" s="21" t="s">
        <v>132</v>
      </c>
      <c r="D1188" s="21" t="s">
        <v>4222</v>
      </c>
      <c r="E1188" s="26" t="s">
        <v>4302</v>
      </c>
      <c r="F1188" s="21" t="s">
        <v>18</v>
      </c>
      <c r="G1188" s="21" t="s">
        <v>291</v>
      </c>
      <c r="H1188" s="21" t="s">
        <v>20</v>
      </c>
      <c r="I1188" s="21" t="s">
        <v>4303</v>
      </c>
      <c r="J1188" s="21" t="s">
        <v>1069</v>
      </c>
      <c r="K1188" s="21">
        <v>1.8582602070002E14</v>
      </c>
      <c r="M1188" s="15"/>
      <c r="N1188" s="15"/>
      <c r="O1188" s="15"/>
    </row>
    <row r="1189" ht="22.5" customHeight="1">
      <c r="A1189" s="32" t="str">
        <f t="shared" si="1"/>
        <v>5/2026</v>
      </c>
      <c r="B1189" s="25">
        <v>46153.66055299768</v>
      </c>
      <c r="C1189" s="21" t="s">
        <v>4184</v>
      </c>
      <c r="D1189" s="21" t="s">
        <v>4304</v>
      </c>
      <c r="E1189" s="26" t="s">
        <v>4305</v>
      </c>
      <c r="F1189" s="21" t="s">
        <v>18</v>
      </c>
      <c r="G1189" s="21" t="s">
        <v>3432</v>
      </c>
      <c r="H1189" s="21" t="s">
        <v>36</v>
      </c>
      <c r="I1189" s="21" t="s">
        <v>4306</v>
      </c>
      <c r="K1189" s="21">
        <v>1.49824011700131E14</v>
      </c>
      <c r="L1189" s="21">
        <v>16.0</v>
      </c>
      <c r="M1189" s="15"/>
      <c r="N1189" s="15"/>
      <c r="O1189" s="15"/>
    </row>
    <row r="1190" ht="22.5" customHeight="1">
      <c r="A1190" s="32" t="str">
        <f t="shared" si="1"/>
        <v>5/2026</v>
      </c>
      <c r="B1190" s="25">
        <v>46153.70477353009</v>
      </c>
      <c r="C1190" s="21" t="s">
        <v>103</v>
      </c>
      <c r="D1190" s="21" t="s">
        <v>3709</v>
      </c>
      <c r="E1190" s="26" t="s">
        <v>4307</v>
      </c>
      <c r="F1190" s="21" t="s">
        <v>106</v>
      </c>
      <c r="G1190" s="21" t="s">
        <v>3350</v>
      </c>
      <c r="H1190" s="21" t="s">
        <v>36</v>
      </c>
      <c r="I1190" s="21" t="s">
        <v>4308</v>
      </c>
      <c r="J1190" s="21" t="s">
        <v>565</v>
      </c>
      <c r="K1190" s="21" t="s">
        <v>3604</v>
      </c>
      <c r="M1190" s="15"/>
      <c r="N1190" s="15"/>
      <c r="O1190" s="15"/>
    </row>
    <row r="1191" ht="22.5" customHeight="1">
      <c r="A1191" s="32" t="str">
        <f t="shared" si="1"/>
        <v>5/2026</v>
      </c>
      <c r="B1191" s="25">
        <v>46153.73506104166</v>
      </c>
      <c r="C1191" s="21" t="s">
        <v>132</v>
      </c>
      <c r="D1191" s="21" t="s">
        <v>4309</v>
      </c>
      <c r="E1191" s="26" t="s">
        <v>4310</v>
      </c>
      <c r="F1191" s="21" t="s">
        <v>18</v>
      </c>
      <c r="G1191" s="21" t="s">
        <v>3323</v>
      </c>
      <c r="H1191" s="21" t="s">
        <v>20</v>
      </c>
      <c r="I1191" s="21" t="s">
        <v>4311</v>
      </c>
      <c r="J1191" s="21" t="s">
        <v>2079</v>
      </c>
      <c r="K1191" s="21">
        <v>1.86825082100007E14</v>
      </c>
      <c r="M1191" s="15"/>
      <c r="N1191" s="15"/>
      <c r="O1191" s="15"/>
    </row>
    <row r="1192" ht="22.5" customHeight="1">
      <c r="A1192" s="32" t="str">
        <f t="shared" si="1"/>
        <v>5/2026</v>
      </c>
      <c r="B1192" s="25">
        <v>46153.73971030093</v>
      </c>
      <c r="C1192" s="21" t="s">
        <v>115</v>
      </c>
      <c r="D1192" s="21" t="s">
        <v>2606</v>
      </c>
      <c r="E1192" s="26" t="s">
        <v>1934</v>
      </c>
      <c r="F1192" s="21" t="s">
        <v>118</v>
      </c>
      <c r="G1192" s="21" t="s">
        <v>291</v>
      </c>
      <c r="H1192" s="21" t="s">
        <v>141</v>
      </c>
      <c r="I1192" s="21" t="s">
        <v>4312</v>
      </c>
      <c r="J1192" s="21" t="s">
        <v>4313</v>
      </c>
      <c r="K1192" s="21" t="s">
        <v>122</v>
      </c>
      <c r="M1192" s="15"/>
      <c r="N1192" s="15"/>
      <c r="O1192" s="15"/>
    </row>
    <row r="1193" ht="22.5" customHeight="1">
      <c r="A1193" s="32" t="str">
        <f t="shared" si="1"/>
        <v>5/2026</v>
      </c>
      <c r="B1193" s="25">
        <v>46153.74080636574</v>
      </c>
      <c r="C1193" s="21" t="s">
        <v>115</v>
      </c>
      <c r="D1193" s="21" t="s">
        <v>753</v>
      </c>
      <c r="E1193" s="26" t="s">
        <v>754</v>
      </c>
      <c r="F1193" s="21" t="s">
        <v>118</v>
      </c>
      <c r="G1193" s="21" t="s">
        <v>291</v>
      </c>
      <c r="H1193" s="21" t="s">
        <v>141</v>
      </c>
      <c r="I1193" s="21" t="s">
        <v>4314</v>
      </c>
      <c r="J1193" s="21" t="s">
        <v>4315</v>
      </c>
      <c r="K1193" s="21" t="s">
        <v>122</v>
      </c>
      <c r="M1193" s="15"/>
      <c r="N1193" s="15"/>
      <c r="O1193" s="15"/>
    </row>
    <row r="1194" ht="22.5" customHeight="1">
      <c r="A1194" s="32" t="str">
        <f t="shared" si="1"/>
        <v>5/2026</v>
      </c>
      <c r="B1194" s="25">
        <v>46153.82375894676</v>
      </c>
      <c r="C1194" s="21" t="s">
        <v>3186</v>
      </c>
      <c r="D1194" s="21" t="s">
        <v>1400</v>
      </c>
      <c r="E1194" s="26" t="s">
        <v>4316</v>
      </c>
      <c r="F1194" s="21" t="s">
        <v>18</v>
      </c>
      <c r="G1194" s="21" t="s">
        <v>3689</v>
      </c>
      <c r="H1194" s="21" t="s">
        <v>36</v>
      </c>
      <c r="I1194" s="21" t="s">
        <v>4317</v>
      </c>
      <c r="K1194" s="21">
        <v>1.3982303020008E14</v>
      </c>
      <c r="M1194" s="15"/>
      <c r="N1194" s="15"/>
      <c r="O1194" s="15"/>
    </row>
    <row r="1195" ht="22.5" customHeight="1">
      <c r="A1195" s="32" t="str">
        <f t="shared" si="1"/>
        <v>5/2026</v>
      </c>
      <c r="B1195" s="25">
        <v>46153.93891549768</v>
      </c>
      <c r="C1195" s="21" t="s">
        <v>408</v>
      </c>
      <c r="D1195" s="21" t="s">
        <v>4318</v>
      </c>
      <c r="E1195" s="26" t="s">
        <v>4319</v>
      </c>
      <c r="F1195" s="21" t="s">
        <v>118</v>
      </c>
      <c r="G1195" s="21" t="s">
        <v>3501</v>
      </c>
      <c r="H1195" s="21" t="s">
        <v>141</v>
      </c>
      <c r="I1195" s="21" t="s">
        <v>4320</v>
      </c>
      <c r="J1195" s="21" t="s">
        <v>4321</v>
      </c>
      <c r="K1195" s="21" t="s">
        <v>4322</v>
      </c>
      <c r="M1195" s="15"/>
      <c r="N1195" s="15"/>
      <c r="O1195" s="15"/>
    </row>
    <row r="1196" ht="22.5" customHeight="1">
      <c r="A1196" s="32" t="str">
        <f t="shared" si="1"/>
        <v>5/2026</v>
      </c>
      <c r="B1196" s="25">
        <v>46153.97549971065</v>
      </c>
      <c r="C1196" s="21" t="s">
        <v>4184</v>
      </c>
      <c r="D1196" s="21" t="s">
        <v>4323</v>
      </c>
      <c r="E1196" s="26" t="s">
        <v>4324</v>
      </c>
      <c r="F1196" s="21" t="s">
        <v>18</v>
      </c>
      <c r="G1196" s="21" t="s">
        <v>3357</v>
      </c>
      <c r="H1196" s="21" t="s">
        <v>36</v>
      </c>
      <c r="I1196" s="21" t="s">
        <v>4325</v>
      </c>
      <c r="K1196" s="21">
        <v>1.19824062700285E14</v>
      </c>
      <c r="L1196" s="21">
        <v>12.0</v>
      </c>
      <c r="M1196" s="15"/>
      <c r="N1196" s="15"/>
      <c r="O1196" s="15"/>
    </row>
    <row r="1197" ht="22.5" customHeight="1">
      <c r="A1197" s="32" t="str">
        <f t="shared" si="1"/>
        <v>5/2026</v>
      </c>
      <c r="B1197" s="25">
        <v>46154.413641817126</v>
      </c>
      <c r="C1197" s="21" t="s">
        <v>618</v>
      </c>
      <c r="D1197" s="21" t="s">
        <v>4326</v>
      </c>
      <c r="E1197" s="26" t="s">
        <v>4327</v>
      </c>
      <c r="F1197" s="21" t="s">
        <v>118</v>
      </c>
      <c r="G1197" s="21" t="s">
        <v>3350</v>
      </c>
      <c r="H1197" s="21" t="s">
        <v>36</v>
      </c>
      <c r="I1197" s="21" t="s">
        <v>4328</v>
      </c>
      <c r="K1197" s="21">
        <v>1.19824092800209E14</v>
      </c>
      <c r="M1197" s="15"/>
      <c r="N1197" s="15"/>
      <c r="O1197" s="15"/>
    </row>
    <row r="1198" ht="22.5" customHeight="1">
      <c r="A1198" s="32" t="str">
        <f t="shared" si="1"/>
        <v>5/2026</v>
      </c>
      <c r="B1198" s="25">
        <v>46154.596122476854</v>
      </c>
      <c r="C1198" s="21" t="s">
        <v>4184</v>
      </c>
      <c r="D1198" s="21" t="s">
        <v>909</v>
      </c>
      <c r="E1198" s="26" t="s">
        <v>4329</v>
      </c>
      <c r="F1198" s="21" t="s">
        <v>18</v>
      </c>
      <c r="G1198" s="21" t="s">
        <v>3373</v>
      </c>
      <c r="H1198" s="21" t="s">
        <v>36</v>
      </c>
      <c r="I1198" s="21" t="s">
        <v>4330</v>
      </c>
      <c r="K1198" s="21">
        <v>1.39825030500468E14</v>
      </c>
      <c r="L1198" s="21">
        <v>20.0</v>
      </c>
      <c r="M1198" s="15"/>
      <c r="N1198" s="15"/>
      <c r="O1198" s="15"/>
    </row>
    <row r="1199" ht="22.5" customHeight="1">
      <c r="A1199" s="36"/>
      <c r="B1199" s="21"/>
      <c r="C1199" s="36"/>
      <c r="D1199" s="36"/>
      <c r="E1199" s="36"/>
      <c r="F1199" s="36"/>
      <c r="G1199" s="36"/>
      <c r="H1199" s="36"/>
      <c r="I1199" s="36"/>
      <c r="J1199" s="36"/>
      <c r="K1199" s="36"/>
      <c r="M1199" s="15">
        <f>SUM(Form_Responses[Đã trả tiền công KTV])</f>
        <v>0</v>
      </c>
      <c r="N1199" s="15">
        <f>SUM(Form_Responses[Chi phí dịch vụ])</f>
        <v>20690000</v>
      </c>
      <c r="O1199" s="15">
        <f>SUM(Form_Responses[Chi phí phát sinh])</f>
        <v>1026000</v>
      </c>
    </row>
    <row r="1200">
      <c r="M1200" s="37"/>
      <c r="N1200" s="37"/>
      <c r="O1200" s="38"/>
    </row>
    <row r="1201">
      <c r="I1201" s="39"/>
      <c r="N1201" s="37"/>
      <c r="O1201" s="38"/>
    </row>
    <row r="1202">
      <c r="N1202" s="37"/>
      <c r="O1202" s="38"/>
    </row>
    <row r="1203">
      <c r="N1203" s="37"/>
      <c r="O1203" s="38"/>
    </row>
    <row r="1204">
      <c r="N1204" s="37"/>
      <c r="O1204" s="38"/>
    </row>
    <row r="1205">
      <c r="N1205" s="37"/>
      <c r="O1205" s="38"/>
    </row>
    <row r="1206">
      <c r="N1206" s="37"/>
      <c r="O1206" s="38"/>
    </row>
    <row r="1207">
      <c r="N1207" s="37"/>
      <c r="O1207" s="38"/>
    </row>
    <row r="1208">
      <c r="N1208" s="37"/>
      <c r="O1208" s="38"/>
    </row>
    <row r="1209">
      <c r="N1209" s="37"/>
      <c r="O1209" s="38"/>
    </row>
    <row r="1210">
      <c r="N1210" s="37"/>
      <c r="O1210" s="38"/>
    </row>
    <row r="1211">
      <c r="N1211" s="37"/>
      <c r="O1211" s="38"/>
    </row>
    <row r="1212">
      <c r="N1212" s="37"/>
      <c r="O1212" s="38"/>
    </row>
    <row r="1213">
      <c r="N1213" s="37"/>
      <c r="O1213" s="38"/>
    </row>
    <row r="1214">
      <c r="N1214" s="37"/>
      <c r="O1214" s="38"/>
    </row>
    <row r="1215">
      <c r="N1215" s="37"/>
      <c r="O1215" s="38"/>
    </row>
    <row r="1216">
      <c r="N1216" s="37"/>
      <c r="O1216" s="38"/>
    </row>
    <row r="1217">
      <c r="N1217" s="37"/>
      <c r="O1217" s="38"/>
    </row>
    <row r="1218">
      <c r="N1218" s="37"/>
      <c r="O1218" s="38"/>
    </row>
    <row r="1219">
      <c r="N1219" s="37"/>
      <c r="O1219" s="38"/>
    </row>
    <row r="1220">
      <c r="N1220" s="37"/>
      <c r="O1220" s="38"/>
    </row>
    <row r="1221">
      <c r="N1221" s="37"/>
      <c r="O1221" s="38"/>
    </row>
    <row r="1222">
      <c r="N1222" s="37"/>
      <c r="O1222" s="38"/>
    </row>
    <row r="1223">
      <c r="N1223" s="37"/>
      <c r="O1223" s="38"/>
    </row>
    <row r="1224">
      <c r="N1224" s="37"/>
      <c r="O1224" s="38"/>
    </row>
    <row r="1225">
      <c r="N1225" s="37"/>
      <c r="O1225" s="38"/>
    </row>
    <row r="1226">
      <c r="N1226" s="37"/>
      <c r="O1226" s="38"/>
    </row>
    <row r="1227">
      <c r="N1227" s="37"/>
      <c r="O1227" s="38"/>
    </row>
    <row r="1228">
      <c r="N1228" s="37"/>
      <c r="O1228" s="38"/>
    </row>
    <row r="1229">
      <c r="N1229" s="37"/>
      <c r="O1229" s="38"/>
    </row>
    <row r="1230">
      <c r="N1230" s="37"/>
      <c r="O1230" s="38"/>
    </row>
    <row r="1231">
      <c r="N1231" s="37"/>
      <c r="O1231" s="38"/>
    </row>
    <row r="1232">
      <c r="N1232" s="37"/>
      <c r="O1232" s="38"/>
    </row>
    <row r="1233">
      <c r="N1233" s="37"/>
      <c r="O1233" s="38"/>
    </row>
    <row r="1234">
      <c r="N1234" s="37"/>
      <c r="O1234" s="38"/>
    </row>
    <row r="1235">
      <c r="N1235" s="37"/>
      <c r="O1235" s="38"/>
    </row>
    <row r="1236">
      <c r="N1236" s="37"/>
      <c r="O1236" s="38"/>
    </row>
    <row r="1237">
      <c r="N1237" s="37"/>
      <c r="O1237" s="38"/>
    </row>
    <row r="1238">
      <c r="N1238" s="37"/>
      <c r="O1238" s="38"/>
    </row>
    <row r="1239">
      <c r="N1239" s="37"/>
      <c r="O1239" s="38"/>
    </row>
    <row r="1240">
      <c r="N1240" s="37"/>
      <c r="O1240" s="38"/>
    </row>
    <row r="1241">
      <c r="N1241" s="37"/>
      <c r="O1241" s="38"/>
    </row>
    <row r="1242">
      <c r="N1242" s="37"/>
      <c r="O1242" s="38"/>
    </row>
    <row r="1243">
      <c r="N1243" s="37"/>
      <c r="O1243" s="38"/>
    </row>
    <row r="1244">
      <c r="N1244" s="37"/>
      <c r="O1244" s="38"/>
    </row>
    <row r="1245">
      <c r="N1245" s="37"/>
      <c r="O1245" s="38"/>
    </row>
    <row r="1246">
      <c r="N1246" s="37"/>
      <c r="O1246" s="38"/>
    </row>
    <row r="1247">
      <c r="N1247" s="37"/>
      <c r="O1247" s="38"/>
    </row>
    <row r="1248">
      <c r="N1248" s="37"/>
      <c r="O1248" s="38"/>
    </row>
    <row r="1249">
      <c r="N1249" s="37"/>
      <c r="O1249" s="38"/>
    </row>
    <row r="1250">
      <c r="N1250" s="37"/>
      <c r="O1250" s="38"/>
    </row>
    <row r="1251">
      <c r="N1251" s="37"/>
      <c r="O1251" s="38"/>
    </row>
    <row r="1252">
      <c r="N1252" s="37"/>
      <c r="O1252" s="38"/>
    </row>
    <row r="1253">
      <c r="N1253" s="37"/>
      <c r="O1253" s="38"/>
    </row>
    <row r="1254">
      <c r="N1254" s="37"/>
      <c r="O1254" s="38"/>
    </row>
    <row r="1255">
      <c r="N1255" s="37"/>
      <c r="O1255" s="38"/>
    </row>
    <row r="1256">
      <c r="N1256" s="37"/>
      <c r="O1256" s="38"/>
    </row>
    <row r="1257">
      <c r="N1257" s="37"/>
      <c r="O1257" s="38"/>
    </row>
    <row r="1258">
      <c r="N1258" s="37"/>
      <c r="O1258" s="38"/>
    </row>
    <row r="1259">
      <c r="N1259" s="37"/>
      <c r="O1259" s="38"/>
    </row>
    <row r="1260">
      <c r="N1260" s="37"/>
      <c r="O1260" s="38"/>
    </row>
    <row r="1261">
      <c r="N1261" s="37"/>
      <c r="O1261" s="38"/>
    </row>
    <row r="1262">
      <c r="N1262" s="37"/>
      <c r="O1262" s="38"/>
    </row>
    <row r="1263">
      <c r="N1263" s="37"/>
      <c r="O1263" s="38"/>
    </row>
    <row r="1264">
      <c r="N1264" s="37"/>
      <c r="O1264" s="38"/>
    </row>
    <row r="1265">
      <c r="N1265" s="37"/>
      <c r="O1265" s="38"/>
    </row>
    <row r="1266">
      <c r="N1266" s="37"/>
      <c r="O1266" s="38"/>
    </row>
    <row r="1267">
      <c r="N1267" s="37"/>
      <c r="O1267" s="38"/>
    </row>
    <row r="1268">
      <c r="N1268" s="37"/>
      <c r="O1268" s="38"/>
    </row>
    <row r="1269">
      <c r="N1269" s="37"/>
      <c r="O1269" s="38"/>
    </row>
    <row r="1270">
      <c r="N1270" s="37"/>
      <c r="O1270" s="38"/>
    </row>
    <row r="1271">
      <c r="N1271" s="37"/>
      <c r="O1271" s="38"/>
    </row>
    <row r="1272">
      <c r="N1272" s="37"/>
      <c r="O1272" s="38"/>
    </row>
    <row r="1273">
      <c r="N1273" s="37"/>
      <c r="O1273" s="38"/>
    </row>
    <row r="1274">
      <c r="N1274" s="37"/>
      <c r="O1274" s="38"/>
    </row>
    <row r="1275">
      <c r="N1275" s="37"/>
      <c r="O1275" s="38"/>
    </row>
    <row r="1276">
      <c r="N1276" s="37"/>
      <c r="O1276" s="38"/>
    </row>
    <row r="1277">
      <c r="N1277" s="37"/>
      <c r="O1277" s="38"/>
    </row>
    <row r="1278">
      <c r="N1278" s="37"/>
      <c r="O1278" s="38"/>
    </row>
    <row r="1279">
      <c r="N1279" s="37"/>
      <c r="O1279" s="38"/>
    </row>
    <row r="1280">
      <c r="N1280" s="37"/>
      <c r="O1280" s="38"/>
    </row>
    <row r="1281">
      <c r="N1281" s="37"/>
      <c r="O1281" s="38"/>
    </row>
    <row r="1282">
      <c r="N1282" s="37"/>
      <c r="O1282" s="38"/>
    </row>
    <row r="1283">
      <c r="N1283" s="37"/>
      <c r="O1283" s="38"/>
    </row>
    <row r="1284">
      <c r="N1284" s="37"/>
      <c r="O1284" s="38"/>
    </row>
    <row r="1285">
      <c r="N1285" s="37"/>
      <c r="O1285" s="38"/>
    </row>
    <row r="1286">
      <c r="N1286" s="37"/>
      <c r="O1286" s="38"/>
    </row>
    <row r="1287">
      <c r="N1287" s="37"/>
      <c r="O1287" s="38"/>
    </row>
    <row r="1288">
      <c r="N1288" s="37"/>
      <c r="O1288" s="38"/>
    </row>
    <row r="1289">
      <c r="N1289" s="37"/>
      <c r="O1289" s="38"/>
    </row>
    <row r="1290">
      <c r="N1290" s="37"/>
      <c r="O1290" s="38"/>
    </row>
    <row r="1291">
      <c r="N1291" s="37"/>
      <c r="O1291" s="38"/>
    </row>
    <row r="1292">
      <c r="N1292" s="37"/>
      <c r="O1292" s="38"/>
    </row>
    <row r="1293">
      <c r="N1293" s="37"/>
      <c r="O1293" s="38"/>
    </row>
    <row r="1294">
      <c r="N1294" s="37"/>
      <c r="O1294" s="38"/>
    </row>
    <row r="1295">
      <c r="N1295" s="37"/>
      <c r="O1295" s="38"/>
    </row>
    <row r="1296">
      <c r="N1296" s="37"/>
      <c r="O1296" s="38"/>
    </row>
    <row r="1297">
      <c r="N1297" s="37"/>
      <c r="O1297" s="38"/>
    </row>
    <row r="1298">
      <c r="N1298" s="37"/>
      <c r="O1298" s="38"/>
    </row>
    <row r="1299">
      <c r="N1299" s="37"/>
      <c r="O1299" s="38"/>
    </row>
  </sheetData>
  <customSheetViews>
    <customSheetView guid="{23BD2D8B-95D1-48C8-AF6D-4C354FC7E6CB}" filter="1" showAutoFilter="1">
      <autoFilter ref="$A$1:$O$1199">
        <filterColumn colId="7">
          <filters blank="1">
            <filter val="Thay lõi lọc"/>
          </filters>
        </filterColumn>
      </autoFilter>
    </customSheetView>
  </customSheetViews>
  <dataValidations>
    <dataValidation type="custom" allowBlank="1" showDropDown="1" sqref="M2:O1198">
      <formula1>AND(ISNUMBER(M2),(NOT(OR(NOT(ISERROR(DATEVALUE(M2))), AND(ISNUMBER(M2), LEFT(CELL("format", M2))="D")))))</formula1>
    </dataValidation>
  </dataValidations>
  <hyperlinks>
    <hyperlink r:id="rId1" ref="I2"/>
    <hyperlink r:id="rId2" ref="I3"/>
    <hyperlink r:id="rId3" ref="I6"/>
    <hyperlink r:id="rId4" ref="I7"/>
    <hyperlink r:id="rId5" ref="I13"/>
    <hyperlink r:id="rId6" ref="I14"/>
    <hyperlink r:id="rId7" ref="I15"/>
    <hyperlink r:id="rId8" ref="I16"/>
    <hyperlink r:id="rId9" ref="I17"/>
    <hyperlink r:id="rId10" ref="I20"/>
    <hyperlink r:id="rId11" ref="I24"/>
    <hyperlink r:id="rId12" ref="I39"/>
    <hyperlink r:id="rId13" ref="I40"/>
    <hyperlink r:id="rId14" ref="I44"/>
    <hyperlink r:id="rId15" ref="I45"/>
    <hyperlink r:id="rId16" ref="I51"/>
    <hyperlink r:id="rId17" ref="I52"/>
    <hyperlink r:id="rId18" ref="I59"/>
    <hyperlink r:id="rId19" ref="I71"/>
    <hyperlink r:id="rId20" ref="I76"/>
    <hyperlink r:id="rId21" ref="I81"/>
    <hyperlink r:id="rId22" ref="I93"/>
    <hyperlink r:id="rId23" ref="I116"/>
    <hyperlink r:id="rId24" ref="I118"/>
    <hyperlink r:id="rId25" ref="I138"/>
    <hyperlink r:id="rId26" ref="I145"/>
    <hyperlink r:id="rId27" ref="I146"/>
    <hyperlink r:id="rId28" ref="I147"/>
    <hyperlink r:id="rId29" ref="I160"/>
    <hyperlink r:id="rId30" ref="I174"/>
    <hyperlink r:id="rId31" ref="I177"/>
    <hyperlink r:id="rId32" ref="E183"/>
    <hyperlink r:id="rId33" ref="I194"/>
    <hyperlink r:id="rId34" ref="I198"/>
    <hyperlink r:id="rId35" ref="I202"/>
    <hyperlink r:id="rId36" ref="I207"/>
    <hyperlink r:id="rId37" ref="I208"/>
    <hyperlink r:id="rId38" ref="I219"/>
    <hyperlink r:id="rId39" ref="I224"/>
    <hyperlink r:id="rId40" ref="I241"/>
    <hyperlink r:id="rId41" ref="I258"/>
    <hyperlink r:id="rId42" ref="I259"/>
    <hyperlink r:id="rId43" ref="I263"/>
    <hyperlink r:id="rId44" ref="I266"/>
    <hyperlink r:id="rId45" ref="I267"/>
    <hyperlink r:id="rId46" ref="I273"/>
    <hyperlink r:id="rId47" ref="I278"/>
    <hyperlink r:id="rId48" ref="I287"/>
    <hyperlink r:id="rId49" ref="I298"/>
    <hyperlink r:id="rId50" ref="I307"/>
    <hyperlink r:id="rId51" ref="I309"/>
    <hyperlink r:id="rId52" ref="I317"/>
    <hyperlink r:id="rId53" ref="I330"/>
    <hyperlink r:id="rId54" ref="I355"/>
    <hyperlink r:id="rId55" ref="I356"/>
    <hyperlink r:id="rId56" ref="I357"/>
    <hyperlink r:id="rId57" ref="I361"/>
    <hyperlink r:id="rId58" ref="I367"/>
    <hyperlink r:id="rId59" ref="I369"/>
    <hyperlink r:id="rId60" ref="I370"/>
    <hyperlink r:id="rId61" ref="I376"/>
    <hyperlink r:id="rId62" ref="I386"/>
    <hyperlink r:id="rId63" ref="I387"/>
    <hyperlink r:id="rId64" ref="I411"/>
    <hyperlink r:id="rId65" ref="I414"/>
    <hyperlink r:id="rId66" ref="I419"/>
    <hyperlink r:id="rId67" ref="I420"/>
    <hyperlink r:id="rId68" ref="I429"/>
    <hyperlink r:id="rId69" ref="I435"/>
    <hyperlink r:id="rId70" ref="I440"/>
    <hyperlink r:id="rId71" ref="I449"/>
    <hyperlink r:id="rId72" ref="I463"/>
    <hyperlink r:id="rId73" ref="I471"/>
    <hyperlink r:id="rId74" ref="I472"/>
    <hyperlink r:id="rId75" ref="I473"/>
    <hyperlink r:id="rId76" ref="I476"/>
    <hyperlink r:id="rId77" ref="I479"/>
    <hyperlink r:id="rId78" ref="I481"/>
    <hyperlink r:id="rId79" ref="I495"/>
    <hyperlink r:id="rId80" ref="I496"/>
    <hyperlink r:id="rId81" ref="I497"/>
    <hyperlink r:id="rId82" ref="I499"/>
    <hyperlink r:id="rId83" ref="I500"/>
    <hyperlink r:id="rId84" ref="I503"/>
    <hyperlink r:id="rId85" ref="I504"/>
    <hyperlink r:id="rId86" ref="I509"/>
    <hyperlink r:id="rId87" ref="I517"/>
    <hyperlink r:id="rId88" ref="I519"/>
    <hyperlink r:id="rId89" ref="I523"/>
    <hyperlink r:id="rId90" ref="I524"/>
    <hyperlink r:id="rId91" ref="I529"/>
    <hyperlink r:id="rId92" ref="I530"/>
    <hyperlink r:id="rId93" ref="I549"/>
    <hyperlink r:id="rId94" ref="I550"/>
    <hyperlink r:id="rId95" ref="I553"/>
    <hyperlink r:id="rId96" ref="I555"/>
    <hyperlink r:id="rId97" ref="I563"/>
    <hyperlink r:id="rId98" ref="I569"/>
    <hyperlink r:id="rId99" ref="I571"/>
    <hyperlink r:id="rId100" ref="I621"/>
    <hyperlink r:id="rId101" ref="I626"/>
    <hyperlink r:id="rId102" ref="I637"/>
    <hyperlink r:id="rId103" ref="I665"/>
    <hyperlink r:id="rId104" ref="I672"/>
    <hyperlink r:id="rId105" ref="I673"/>
    <hyperlink r:id="rId106" ref="I674"/>
    <hyperlink r:id="rId107" ref="I676"/>
    <hyperlink r:id="rId108" ref="I705"/>
    <hyperlink r:id="rId109" ref="I730"/>
    <hyperlink r:id="rId110" ref="I737"/>
    <hyperlink r:id="rId111" ref="I745"/>
    <hyperlink r:id="rId112" ref="I748"/>
    <hyperlink r:id="rId113" ref="I754"/>
    <hyperlink r:id="rId114" ref="I756"/>
    <hyperlink r:id="rId115" ref="I757"/>
    <hyperlink r:id="rId116" ref="I760"/>
    <hyperlink r:id="rId117" ref="I761"/>
    <hyperlink r:id="rId118" ref="I774"/>
    <hyperlink r:id="rId119" ref="I810"/>
    <hyperlink r:id="rId120" ref="I814"/>
    <hyperlink r:id="rId121" ref="I829"/>
    <hyperlink r:id="rId122" ref="I848"/>
    <hyperlink r:id="rId123" ref="I855"/>
    <hyperlink r:id="rId124" ref="I863"/>
    <hyperlink r:id="rId125" ref="I868"/>
    <hyperlink r:id="rId126" ref="I904"/>
    <hyperlink r:id="rId127" ref="I917"/>
    <hyperlink r:id="rId128" ref="I940"/>
    <hyperlink r:id="rId129" ref="I1011"/>
    <hyperlink r:id="rId130" ref="I1015"/>
    <hyperlink r:id="rId131" ref="I1025"/>
    <hyperlink r:id="rId132" ref="I1043"/>
    <hyperlink r:id="rId133" ref="I1058"/>
    <hyperlink r:id="rId134" ref="I1067"/>
    <hyperlink r:id="rId135" ref="I1105"/>
    <hyperlink r:id="rId136" ref="I1106"/>
    <hyperlink r:id="rId137" ref="I1143"/>
    <hyperlink r:id="rId138" ref="I1182"/>
  </hyperlinks>
  <drawing r:id="rId139"/>
  <tableParts count="1">
    <tablePart r:id="rId141"/>
  </tableParts>
</worksheet>
</file>